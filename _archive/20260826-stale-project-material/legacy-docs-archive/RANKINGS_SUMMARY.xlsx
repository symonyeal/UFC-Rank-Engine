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yukongovernment-my.sharepoint.com/personal/sislam_ynet_gov_yk_ca/Documents/Documents/GitHub/Codex/F U N/Symon UFC Rank Engine/Symon UFC Rank Engine/"/>
    </mc:Choice>
  </mc:AlternateContent>
  <xr:revisionPtr revIDLastSave="4" documentId="11_BA2D450807960D132A3C4F3147C97E6C1BF732B7" xr6:coauthVersionLast="47" xr6:coauthVersionMax="47" xr10:uidLastSave="{5542D8F5-4E52-40A0-96EE-17CBEB543AC9}"/>
  <bookViews>
    <workbookView xWindow="-120" yWindow="-120" windowWidth="29040" windowHeight="15720" xr2:uid="{00000000-000D-0000-FFFF-FFFF00000000}"/>
  </bookViews>
  <sheets>
    <sheet name="MEN -WHR 10 yr" sheetId="1" r:id="rId1"/>
    <sheet name="MEN -WHR 5 yr" sheetId="2" r:id="rId2"/>
    <sheet name="MEN -FlyW WHR" sheetId="3" r:id="rId3"/>
    <sheet name="WOMEN -Overall 10 yr" sheetId="4" r:id="rId4"/>
    <sheet name="WOMEN -Divisional WHR" sheetId="5" r:id="rId5"/>
    <sheet name="WOMEN -Overall 5 yr" sheetId="6" r:id="rId6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build_rankings_sheets</author>
  </authors>
  <commentList>
    <comment ref="I19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I2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I27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I3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I3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I3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I3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H38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I38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G39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I39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G40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H40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G41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H41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G4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H4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G4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H43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G44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H44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G45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H45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G46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H46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G47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H47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build_rankings_sheets</author>
  </authors>
  <commentList>
    <comment ref="I28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I3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I32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I36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I38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G39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H39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G40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H40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G41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H41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G42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H42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G43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H43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build_rankings_sheets</author>
  </authors>
  <commentList>
    <comment ref="I3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I3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I3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I35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I37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I38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G39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H39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G40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H40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G41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H41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G42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H42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G43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H43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G44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  <comment ref="H44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Filled from ratings_current.parquet (fighter outside this metric's published top-30)</t>
        </r>
      </text>
    </comment>
  </commentList>
</comments>
</file>

<file path=xl/sharedStrings.xml><?xml version="1.0" encoding="utf-8"?>
<sst xmlns="http://schemas.openxmlformats.org/spreadsheetml/2006/main" count="997" uniqueCount="337">
  <si>
    <t>Men Sustained (10Y) All-Time Rank</t>
  </si>
  <si>
    <t>Top 20 Men — Metric Insight</t>
  </si>
  <si>
    <t>Fighter</t>
  </si>
  <si>
    <t>Division</t>
  </si>
  <si>
    <t>Fights</t>
  </si>
  <si>
    <t>WHR Score</t>
  </si>
  <si>
    <t>WHR I+P Score</t>
  </si>
  <si>
    <t>Method I+P Score</t>
  </si>
  <si>
    <t>Canonical Score</t>
  </si>
  <si>
    <t>z-Score WHR</t>
  </si>
  <si>
    <t>z-Score WHR I+P</t>
  </si>
  <si>
    <t>z-Method I+P</t>
  </si>
  <si>
    <t>z-Canonical Glicko2</t>
  </si>
  <si>
    <t>Rank WHR</t>
  </si>
  <si>
    <t>Rank WHR I+P</t>
  </si>
  <si>
    <t>Rank Method I+P</t>
  </si>
  <si>
    <t>Rank Canonical</t>
  </si>
  <si>
    <t>Avg Score</t>
  </si>
  <si>
    <t>Max Score</t>
  </si>
  <si>
    <t>Fighters</t>
  </si>
  <si>
    <t>Rank</t>
  </si>
  <si>
    <t>z WHR Score</t>
  </si>
  <si>
    <t>z WHR I+P Score</t>
  </si>
  <si>
    <t>z Method I+P Score</t>
  </si>
  <si>
    <t>z Canonical Score</t>
  </si>
  <si>
    <t>R WHR Score</t>
  </si>
  <si>
    <t>R WHR I+P Score</t>
  </si>
  <si>
    <t>R Method I+P Score</t>
  </si>
  <si>
    <t>R Canonical Score</t>
  </si>
  <si>
    <t>Avg Rank</t>
  </si>
  <si>
    <t>Rank Spread</t>
  </si>
  <si>
    <t>Z Spread</t>
  </si>
  <si>
    <t>Anderson Silva</t>
  </si>
  <si>
    <t>Middleweight</t>
  </si>
  <si>
    <t>Jon Jones</t>
  </si>
  <si>
    <t>Light Heavyweight</t>
  </si>
  <si>
    <t>Georges St-Pierre</t>
  </si>
  <si>
    <t>Welterweight</t>
  </si>
  <si>
    <t>Daniel Cormier</t>
  </si>
  <si>
    <t>Featherweight</t>
  </si>
  <si>
    <t>Alexander Volkanovski</t>
  </si>
  <si>
    <t>Lightweight</t>
  </si>
  <si>
    <t>Jose Aldo</t>
  </si>
  <si>
    <t>Heavyweight</t>
  </si>
  <si>
    <t>Israel Adesanya</t>
  </si>
  <si>
    <t>Flyweight</t>
  </si>
  <si>
    <t>Kamaru Usman</t>
  </si>
  <si>
    <t>Bantamweight</t>
  </si>
  <si>
    <t>Islam Makhachev</t>
  </si>
  <si>
    <t>Max Holloway</t>
  </si>
  <si>
    <t>Stipe Miocic</t>
  </si>
  <si>
    <t>Benson Henderson</t>
  </si>
  <si>
    <t>Chris Weidman</t>
  </si>
  <si>
    <t>Conor McGregor</t>
  </si>
  <si>
    <t>Frankie Edgar</t>
  </si>
  <si>
    <t>Junior Dos Santos</t>
  </si>
  <si>
    <t>Khabib Nurmagomedov</t>
  </si>
  <si>
    <t>Demetrious Johnson</t>
  </si>
  <si>
    <t>Cain Velasquez</t>
  </si>
  <si>
    <t>Aljamain Sterling</t>
  </si>
  <si>
    <t>Deiveson Figueiredo</t>
  </si>
  <si>
    <t>Henry Cejudo</t>
  </si>
  <si>
    <t>Justin Gaethje</t>
  </si>
  <si>
    <t>Yoel Romero</t>
  </si>
  <si>
    <t>Robert Whittaker</t>
  </si>
  <si>
    <t>Dustin Poirier</t>
  </si>
  <si>
    <t>Rich Franklin</t>
  </si>
  <si>
    <t>Tyron Woodley</t>
  </si>
  <si>
    <t>BJ Penn</t>
  </si>
  <si>
    <t>Petr Yan</t>
  </si>
  <si>
    <t>TJ Dillashaw</t>
  </si>
  <si>
    <t>Francis Ngannou</t>
  </si>
  <si>
    <t>Randy Couture</t>
  </si>
  <si>
    <t>Matt Hughes</t>
  </si>
  <si>
    <t>Merab Dvalishvili</t>
  </si>
  <si>
    <t>Chuck Liddell</t>
  </si>
  <si>
    <t>Tim Sylvia</t>
  </si>
  <si>
    <t>Alexandre Pantoja</t>
  </si>
  <si>
    <t>Men 5-Year Peak Rank</t>
  </si>
  <si>
    <t>Rank WHR Score</t>
  </si>
  <si>
    <t>Rank WHR I+P Score</t>
  </si>
  <si>
    <t>Rank Method I+P Score</t>
  </si>
  <si>
    <t>Alex Pereira</t>
  </si>
  <si>
    <t>Ilia Topuria</t>
  </si>
  <si>
    <t>Dricus Du Plessis</t>
  </si>
  <si>
    <t>Tito Ortiz</t>
  </si>
  <si>
    <t>Leon Edwards</t>
  </si>
  <si>
    <t>Jiri Prochazka</t>
  </si>
  <si>
    <t>Charles Oliveira</t>
  </si>
  <si>
    <t>Men Divisional Rank (WHR 10-Year)</t>
  </si>
  <si>
    <t>Division Rank</t>
  </si>
  <si>
    <t>Joshua Van</t>
  </si>
  <si>
    <t>Brandon Moreno</t>
  </si>
  <si>
    <t>Joseph Benavidez</t>
  </si>
  <si>
    <t>Jussier Formiga</t>
  </si>
  <si>
    <t>Kai Kara-France</t>
  </si>
  <si>
    <t>Dustin Ortiz</t>
  </si>
  <si>
    <t>Sergio Pettis</t>
  </si>
  <si>
    <t>John Moraga</t>
  </si>
  <si>
    <t>Alex Perez</t>
  </si>
  <si>
    <t>Chris Cariaso</t>
  </si>
  <si>
    <t>Wilson Reis</t>
  </si>
  <si>
    <t>Charles Johnson</t>
  </si>
  <si>
    <t>Tim Elliott</t>
  </si>
  <si>
    <t>Louis Smolka</t>
  </si>
  <si>
    <t>Matt Schnell</t>
  </si>
  <si>
    <t>Cody Durden</t>
  </si>
  <si>
    <t>Ode Osbourne</t>
  </si>
  <si>
    <t>Renan Barao</t>
  </si>
  <si>
    <t>Sean O'Malley</t>
  </si>
  <si>
    <t>Cory Sandhagen</t>
  </si>
  <si>
    <t>Urijah Faber</t>
  </si>
  <si>
    <t>Raphael Assuncao</t>
  </si>
  <si>
    <t>Cody Garbrandt</t>
  </si>
  <si>
    <t>Mario Bautista</t>
  </si>
  <si>
    <t>Song Yadong</t>
  </si>
  <si>
    <t>John Lineker</t>
  </si>
  <si>
    <t>John Dodson</t>
  </si>
  <si>
    <t>Marlon Vera</t>
  </si>
  <si>
    <t>Raoni Barcelos</t>
  </si>
  <si>
    <t>Rob Font</t>
  </si>
  <si>
    <t>Chris Gutierrez</t>
  </si>
  <si>
    <t>Ricky Simon</t>
  </si>
  <si>
    <t>Montel Jackson</t>
  </si>
  <si>
    <t>Pedro Munhoz</t>
  </si>
  <si>
    <t>Jonathan Martinez</t>
  </si>
  <si>
    <t>Takeya Mizugaki</t>
  </si>
  <si>
    <t>Iuri Alcantara</t>
  </si>
  <si>
    <t>Rani Yahya</t>
  </si>
  <si>
    <t>Alejandro Perez</t>
  </si>
  <si>
    <t>Cody Stamann</t>
  </si>
  <si>
    <t>Davey Grant</t>
  </si>
  <si>
    <t>Brian Kelleher</t>
  </si>
  <si>
    <t>Eddie Wineland</t>
  </si>
  <si>
    <t>Yair Rodriguez</t>
  </si>
  <si>
    <t>Chad Mendes</t>
  </si>
  <si>
    <t>Brian Ortega</t>
  </si>
  <si>
    <t>Arnold Allen</t>
  </si>
  <si>
    <t>Ricardo Lamas</t>
  </si>
  <si>
    <t>Cub Swanson</t>
  </si>
  <si>
    <t>Josh Emmett</t>
  </si>
  <si>
    <t>Nathaniel Wood</t>
  </si>
  <si>
    <t>Darren Elkins</t>
  </si>
  <si>
    <t>Calvin Kattar</t>
  </si>
  <si>
    <t>Dan Ige</t>
  </si>
  <si>
    <t>Youssef Zalal</t>
  </si>
  <si>
    <t>Dennis Bermudez</t>
  </si>
  <si>
    <t>Andre Fili</t>
  </si>
  <si>
    <t>Charles Jourdain</t>
  </si>
  <si>
    <t>Alex Caceres</t>
  </si>
  <si>
    <t>Ricardo Ramos</t>
  </si>
  <si>
    <t>Julian Erosa</t>
  </si>
  <si>
    <t>Makwan Amirkhani</t>
  </si>
  <si>
    <t>Gabriel Benitez</t>
  </si>
  <si>
    <t>Manvel Gamburyan</t>
  </si>
  <si>
    <t>Charles Rosa</t>
  </si>
  <si>
    <t>Rafael Dos Anjos</t>
  </si>
  <si>
    <t>Sean Sherk</t>
  </si>
  <si>
    <t>Donald Cerrone</t>
  </si>
  <si>
    <t>Tony Ferguson</t>
  </si>
  <si>
    <t>Kenny Florian</t>
  </si>
  <si>
    <t>Gray Maynard</t>
  </si>
  <si>
    <t>Grant Dawson</t>
  </si>
  <si>
    <t>Anthony Pettis</t>
  </si>
  <si>
    <t>Beneil Dariush</t>
  </si>
  <si>
    <t>Rustam Khabilov</t>
  </si>
  <si>
    <t>Renato Moicano</t>
  </si>
  <si>
    <t>Nate Diaz</t>
  </si>
  <si>
    <t>Jim Miller</t>
  </si>
  <si>
    <t>Edson Barboza</t>
  </si>
  <si>
    <t>Mateusz Gamrot</t>
  </si>
  <si>
    <t>Drakkar Klose</t>
  </si>
  <si>
    <t>Kevin Lee</t>
  </si>
  <si>
    <t>Francisco Trinaldo</t>
  </si>
  <si>
    <t>Dan Hooker</t>
  </si>
  <si>
    <t>Diego Ferreira</t>
  </si>
  <si>
    <t>Al Iaquinta</t>
  </si>
  <si>
    <t>Michel Prazeres</t>
  </si>
  <si>
    <t>Robbie Lawler</t>
  </si>
  <si>
    <t>Jon Fitch</t>
  </si>
  <si>
    <t>Colby Covington</t>
  </si>
  <si>
    <t>Belal Muhammad</t>
  </si>
  <si>
    <t>Johny Hendricks</t>
  </si>
  <si>
    <t>Demian Maia</t>
  </si>
  <si>
    <t>Anthony Johnson</t>
  </si>
  <si>
    <t>Diego Sanchez</t>
  </si>
  <si>
    <t>Neil Magny</t>
  </si>
  <si>
    <t>Stephen Thompson</t>
  </si>
  <si>
    <t>Carlos Condit</t>
  </si>
  <si>
    <t>Rory MacDonald</t>
  </si>
  <si>
    <t>Gilbert Burns</t>
  </si>
  <si>
    <t>Dong Hyun Kim</t>
  </si>
  <si>
    <t>Thiago Alves</t>
  </si>
  <si>
    <t>Josh Koscheck</t>
  </si>
  <si>
    <t>Vicente Luque</t>
  </si>
  <si>
    <t>Jorge Masvidal</t>
  </si>
  <si>
    <t>Michael Chiesa</t>
  </si>
  <si>
    <t>Elizeu Zaleski dos Santos</t>
  </si>
  <si>
    <t>Mike Swick</t>
  </si>
  <si>
    <t>Santiago Ponzinibbio</t>
  </si>
  <si>
    <t>Daniel Rodriguez</t>
  </si>
  <si>
    <t>Martin Kampmann</t>
  </si>
  <si>
    <t>Randy Brown</t>
  </si>
  <si>
    <t>Sean Strickland</t>
  </si>
  <si>
    <t>Michael Bisping</t>
  </si>
  <si>
    <t>Yushin Okami</t>
  </si>
  <si>
    <t>Brendan Allen</t>
  </si>
  <si>
    <t>Vitor Belfort</t>
  </si>
  <si>
    <t>Nate Marquardt</t>
  </si>
  <si>
    <t>Derek Brunson</t>
  </si>
  <si>
    <t>Kelvin Gastelum</t>
  </si>
  <si>
    <t>Jacare Souza</t>
  </si>
  <si>
    <t>Evan Tanner</t>
  </si>
  <si>
    <t>Chael Sonnen</t>
  </si>
  <si>
    <t>Luke Rockhold</t>
  </si>
  <si>
    <t>Jared Cannonier</t>
  </si>
  <si>
    <t>Gregory Rodrigues</t>
  </si>
  <si>
    <t>Dan Henderson</t>
  </si>
  <si>
    <t>Thiago Santos</t>
  </si>
  <si>
    <t>Thales Leites</t>
  </si>
  <si>
    <t>Jack Hermansson</t>
  </si>
  <si>
    <t>Joaquin Buckley</t>
  </si>
  <si>
    <t>Brad Tavares</t>
  </si>
  <si>
    <t>Mark Munoz</t>
  </si>
  <si>
    <t>Kevin Holland</t>
  </si>
  <si>
    <t>Marvin Vettori</t>
  </si>
  <si>
    <t>Rashad Evans</t>
  </si>
  <si>
    <t>Lyoto Machida</t>
  </si>
  <si>
    <t>Magomed Ankalaev</t>
  </si>
  <si>
    <t>Glover Teixeira</t>
  </si>
  <si>
    <t>Quinton Jackson</t>
  </si>
  <si>
    <t>Jan Blachowicz</t>
  </si>
  <si>
    <t>Ryan Bader</t>
  </si>
  <si>
    <t>Forrest Griffin</t>
  </si>
  <si>
    <t>Alexander Gustafsson</t>
  </si>
  <si>
    <t>Dominick Reyes</t>
  </si>
  <si>
    <t>Mauricio Rua</t>
  </si>
  <si>
    <t>Anthony Smith</t>
  </si>
  <si>
    <t>Volkan Oezdemir</t>
  </si>
  <si>
    <t>Matt Hamill</t>
  </si>
  <si>
    <t>Corey Anderson</t>
  </si>
  <si>
    <t>Ovince Saint Preux</t>
  </si>
  <si>
    <t>Dustin Jacoby</t>
  </si>
  <si>
    <t>Nikita Krylov</t>
  </si>
  <si>
    <t>Stephan Bonnar</t>
  </si>
  <si>
    <t>Johnny Walker</t>
  </si>
  <si>
    <t>Khalil Rountree Jr.</t>
  </si>
  <si>
    <t>Ryan Spann</t>
  </si>
  <si>
    <t>Alonzo Menifield</t>
  </si>
  <si>
    <t>Brandon Vera</t>
  </si>
  <si>
    <t>Ilir Latifi</t>
  </si>
  <si>
    <t>Ciryl Gane</t>
  </si>
  <si>
    <t>Andrei Arlovski</t>
  </si>
  <si>
    <t>Fabricio Werdum</t>
  </si>
  <si>
    <t>Alexander Volkov</t>
  </si>
  <si>
    <t>Curtis Blaydes</t>
  </si>
  <si>
    <t>Frank Mir</t>
  </si>
  <si>
    <t>Derrick Lewis</t>
  </si>
  <si>
    <t>Alistair Overeem</t>
  </si>
  <si>
    <t>Waldo Cortes Acosta</t>
  </si>
  <si>
    <t>Jairzinho Rozenstruik</t>
  </si>
  <si>
    <t>Travis Browne</t>
  </si>
  <si>
    <t>Mark Hunt</t>
  </si>
  <si>
    <t>Marcin Tybura</t>
  </si>
  <si>
    <t>Antonio Rodrigo Nogueira</t>
  </si>
  <si>
    <t>Gabriel Gonzaga</t>
  </si>
  <si>
    <t>Stefan Struve</t>
  </si>
  <si>
    <t>Serghei Spivac</t>
  </si>
  <si>
    <t>Cheick Kongo</t>
  </si>
  <si>
    <t>Roy Nelson</t>
  </si>
  <si>
    <t>Matt Mitrione</t>
  </si>
  <si>
    <t>Aleksei Oleinik</t>
  </si>
  <si>
    <t>Ben Rothwell</t>
  </si>
  <si>
    <t>Marcos Rogerio de Lima</t>
  </si>
  <si>
    <t>Tai Tuivasa</t>
  </si>
  <si>
    <t>Women 10-Year Sustained Peak Rank</t>
  </si>
  <si>
    <t>Amanda Nunes</t>
  </si>
  <si>
    <t>Women's Bantamweight</t>
  </si>
  <si>
    <t>Valentina Shevchenko</t>
  </si>
  <si>
    <t>Women's Flyweight</t>
  </si>
  <si>
    <t>Zhang Weili</t>
  </si>
  <si>
    <t>Women's Strawweight</t>
  </si>
  <si>
    <t>Joanna Jedrzejczyk</t>
  </si>
  <si>
    <t>Rose Namajunas</t>
  </si>
  <si>
    <t>Carla Esparza</t>
  </si>
  <si>
    <t>Jessica Andrade</t>
  </si>
  <si>
    <t>Raquel Pennington</t>
  </si>
  <si>
    <t>Alexa Grasso</t>
  </si>
  <si>
    <t>Holly Holm</t>
  </si>
  <si>
    <t>Virna Jandiroba</t>
  </si>
  <si>
    <t>Maycee Barber</t>
  </si>
  <si>
    <t>Katlyn Cerminara</t>
  </si>
  <si>
    <t>Yan Xiaonan</t>
  </si>
  <si>
    <t>Mackenzie Dern</t>
  </si>
  <si>
    <t>Ketlen Vieira</t>
  </si>
  <si>
    <t>Miesha Tate</t>
  </si>
  <si>
    <t>Amanda Lemos</t>
  </si>
  <si>
    <t>Gillian Robertson</t>
  </si>
  <si>
    <t>Irene Aldana</t>
  </si>
  <si>
    <t>Tecia Pennington</t>
  </si>
  <si>
    <t>Marina Rodriguez</t>
  </si>
  <si>
    <t>Sara McMann</t>
  </si>
  <si>
    <t>Joselyne Edwards</t>
  </si>
  <si>
    <t>Viviane Araujo</t>
  </si>
  <si>
    <t>Karolina Kowalkiewicz</t>
  </si>
  <si>
    <t>Amanda Ribas</t>
  </si>
  <si>
    <t>Loopy Godinez</t>
  </si>
  <si>
    <t>Alexis Davis</t>
  </si>
  <si>
    <t>JJ Aldrich</t>
  </si>
  <si>
    <t>Michelle Waterson-Gomez</t>
  </si>
  <si>
    <t>Cynthia Calvillo</t>
  </si>
  <si>
    <t>Macy Chiasson</t>
  </si>
  <si>
    <t>Mayra Bueno Silva</t>
  </si>
  <si>
    <t>Andrea Lee</t>
  </si>
  <si>
    <t>Women Divisional Rank (WHR 10-Year)</t>
  </si>
  <si>
    <t>Angela Hill</t>
  </si>
  <si>
    <t>Randa Markos</t>
  </si>
  <si>
    <t>Cortney Casey</t>
  </si>
  <si>
    <t>Lauren Murphy</t>
  </si>
  <si>
    <t>Joanne Wood</t>
  </si>
  <si>
    <t>Jessica Eye</t>
  </si>
  <si>
    <t>Molly McCann</t>
  </si>
  <si>
    <t>Ariane da Silva</t>
  </si>
  <si>
    <t>Priscila Cachoeira</t>
  </si>
  <si>
    <t>Julianna Pena</t>
  </si>
  <si>
    <t>Marion Reneau</t>
  </si>
  <si>
    <t>Women 5-Year Peak Rank</t>
  </si>
  <si>
    <t>Ronda Rousey</t>
  </si>
  <si>
    <t>Women's Featherweight</t>
  </si>
  <si>
    <t>Manon Fiorot</t>
  </si>
  <si>
    <t>Natalia Silva</t>
  </si>
  <si>
    <t>Erin Blanchfield</t>
  </si>
  <si>
    <t>Germaine de Randamie</t>
  </si>
  <si>
    <t>Norma Dumont</t>
  </si>
  <si>
    <t>Jasmine Jasudavicius</t>
  </si>
  <si>
    <t>Denise Gomes</t>
  </si>
  <si>
    <t>Claudia Gadelha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</si>
</sst>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name val="Calibri"/>
    </font>
    <font>
      <i/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rgb="FF305496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/>
    <xf numFmtId="49" fontId="0" fillId="3" borderId="1" xfId="0" applyNumberFormat="1" applyFill="1" applyBorder="1"/>
    <xf numFmtId="49" fontId="0" fillId="0" borderId="1" xfId="0" applyNumberFormat="1" applyBorder="1"/>
    <xf numFmtId="0" fontId="0" fillId="3" borderId="1" xfId="0" applyFill="1" applyBorder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0" fontId="1" fillId="4" borderId="0" xfId="0" applyFont="1" applyFill="1"/>
    <xf numFmtId="0" fontId="0" fillId="3" borderId="2" xfId="0" applyFill="1" applyBorder="1"/>
    <xf numFmtId="0" fontId="0" fillId="0" borderId="2" xfId="0" applyBorder="1"/>
    <xf numFmtId="0" fontId="0" fillId="0" borderId="1" xfId="0" applyBorder="1"/>
    <xf numFmtId="0" fontId="0" fillId="3" borderId="0" xfId="0" applyFill="1"/>
    <xf numFmtId="49" fontId="0" fillId="3" borderId="0" xfId="0" applyNumberFormat="1" applyFill="1"/>
    <xf numFmtId="0" fontId="0" fillId="3" borderId="3" xfId="0" applyFill="1" applyBorder="1"/>
    <xf numFmtId="0" fontId="0" fillId="3" borderId="4" xfId="0" applyFill="1" applyBorder="1"/>
    <xf numFmtId="49" fontId="1" fillId="2" borderId="0" xfId="0" applyNumberFormat="1" applyFont="1" applyFill="1"/>
    <xf numFmtId="0" fontId="3" fillId="0" borderId="0" xfId="0" applyFont="1" applyAlignment="1">
      <alignment horizontal="center"/>
    </xf>
    <xf numFmtId="2" fontId="0" fillId="0" borderId="0" xfId="0" applyNumberFormat="1"/>
    <xf numFmtId="0" fontId="4" fillId="0" borderId="0" xfId="0" applyFont="1"/>
    <xf numFmtId="0" fontId="5" fillId="0" borderId="0" xfId="0" applyFont="1"/>
    <xf numFmtId="164" fontId="0" fillId="0" borderId="0" xfId="0" applyNumberFormat="1"/>
    <xf numFmtId="0" fontId="6" fillId="0" borderId="0" xfId="0" applyFont="1"/>
    <xf numFmtId="0" fontId="7" fillId="5" borderId="0" xfId="0" applyFont="1" applyFill="1" applyAlignment="1">
      <alignment horizontal="center" wrapText="1"/>
    </xf>
    <xf numFmtId="2" fontId="0" fillId="3" borderId="3" xfId="0" applyNumberFormat="1" applyFill="1" applyBorder="1"/>
    <xf numFmtId="2" fontId="0" fillId="3" borderId="1" xfId="0" applyNumberFormat="1" applyFill="1" applyBorder="1"/>
    <xf numFmtId="2" fontId="0" fillId="3" borderId="4" xfId="0" applyNumberFormat="1" applyFill="1" applyBorder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15"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4"/>
          <bgColor theme="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Metric Disagreement: z-Score WHR vs z-Method I+P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z-Method I+P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'MEN -WHR 10 yr'!$K$9:$K$46</c:f>
              <c:numCache>
                <c:formatCode>General</c:formatCode>
                <c:ptCount val="38"/>
                <c:pt idx="0">
                  <c:v>1.6557288905958756</c:v>
                </c:pt>
                <c:pt idx="1">
                  <c:v>2.3632077643350882</c:v>
                </c:pt>
                <c:pt idx="2">
                  <c:v>2.2497084797779956</c:v>
                </c:pt>
                <c:pt idx="3">
                  <c:v>0.83096742281433711</c:v>
                </c:pt>
                <c:pt idx="4">
                  <c:v>1.2685702199400173</c:v>
                </c:pt>
                <c:pt idx="5">
                  <c:v>0.92933346943048356</c:v>
                </c:pt>
                <c:pt idx="6">
                  <c:v>0.70737931296328127</c:v>
                </c:pt>
                <c:pt idx="7">
                  <c:v>0.56991906833302342</c:v>
                </c:pt>
                <c:pt idx="8">
                  <c:v>1.2420870535433606</c:v>
                </c:pt>
                <c:pt idx="9">
                  <c:v>0.41102006995309476</c:v>
                </c:pt>
                <c:pt idx="10">
                  <c:v>0.2268990083382538</c:v>
                </c:pt>
                <c:pt idx="11">
                  <c:v>-0.30402542275658972</c:v>
                </c:pt>
                <c:pt idx="12">
                  <c:v>-0.59155694363455724</c:v>
                </c:pt>
                <c:pt idx="13">
                  <c:v>-0.46544662746000987</c:v>
                </c:pt>
                <c:pt idx="14">
                  <c:v>-0.49319089701841085</c:v>
                </c:pt>
                <c:pt idx="15">
                  <c:v>-0.8626941234098342</c:v>
                </c:pt>
                <c:pt idx="16">
                  <c:v>0.31265402333694547</c:v>
                </c:pt>
                <c:pt idx="17">
                  <c:v>1.5359240902300555</c:v>
                </c:pt>
                <c:pt idx="18">
                  <c:v>-0.32546417650626336</c:v>
                </c:pt>
                <c:pt idx="19">
                  <c:v>-0.28258666900691609</c:v>
                </c:pt>
                <c:pt idx="20">
                  <c:v>-0.93583810679107404</c:v>
                </c:pt>
                <c:pt idx="21">
                  <c:v>-0.28132556584517177</c:v>
                </c:pt>
                <c:pt idx="22">
                  <c:v>-1.4995512200912988</c:v>
                </c:pt>
                <c:pt idx="23">
                  <c:v>-1.7933882567779966</c:v>
                </c:pt>
                <c:pt idx="24">
                  <c:v>-1.2044530802428595</c:v>
                </c:pt>
                <c:pt idx="25">
                  <c:v>-1.2864247857563154</c:v>
                </c:pt>
                <c:pt idx="26">
                  <c:v>-0.63569555429564883</c:v>
                </c:pt>
                <c:pt idx="27">
                  <c:v>-1.0014154712018364</c:v>
                </c:pt>
                <c:pt idx="28">
                  <c:v>9.3222073193234681E-2</c:v>
                </c:pt>
                <c:pt idx="29">
                  <c:v>-0.86773853605681728</c:v>
                </c:pt>
                <c:pt idx="30">
                  <c:v>-7.3243544157168494E-2</c:v>
                </c:pt>
                <c:pt idx="31">
                  <c:v>-0.64452327642786778</c:v>
                </c:pt>
                <c:pt idx="32">
                  <c:v>0.55983024303906015</c:v>
                </c:pt>
                <c:pt idx="33">
                  <c:v>0.48038074384909585</c:v>
                </c:pt>
                <c:pt idx="34">
                  <c:v>-0.35320844606466434</c:v>
                </c:pt>
                <c:pt idx="35">
                  <c:v>-0.49192979385666652</c:v>
                </c:pt>
                <c:pt idx="36">
                  <c:v>-0.55246274562044873</c:v>
                </c:pt>
                <c:pt idx="37">
                  <c:v>-0.49066869069491931</c:v>
                </c:pt>
              </c:numCache>
            </c:numRef>
          </c:xVal>
          <c:yVal>
            <c:numRef>
              <c:f>'MEN -WHR 10 yr'!$M$9:$M$46</c:f>
              <c:numCache>
                <c:formatCode>General</c:formatCode>
                <c:ptCount val="38"/>
                <c:pt idx="0">
                  <c:v>2.3962260662076362</c:v>
                </c:pt>
                <c:pt idx="1">
                  <c:v>2.2224780618233053</c:v>
                </c:pt>
                <c:pt idx="2">
                  <c:v>1.5693435180694799</c:v>
                </c:pt>
                <c:pt idx="3">
                  <c:v>1.3782207132467135</c:v>
                </c:pt>
                <c:pt idx="4">
                  <c:v>1.3624254401208653</c:v>
                </c:pt>
                <c:pt idx="5">
                  <c:v>1.2771309652412868</c:v>
                </c:pt>
                <c:pt idx="6">
                  <c:v>1.2739719106161163</c:v>
                </c:pt>
                <c:pt idx="7">
                  <c:v>0.95569715713027192</c:v>
                </c:pt>
                <c:pt idx="8">
                  <c:v>0.83881213599899673</c:v>
                </c:pt>
                <c:pt idx="9">
                  <c:v>0.73061451508693387</c:v>
                </c:pt>
                <c:pt idx="10">
                  <c:v>0.53870194660787929</c:v>
                </c:pt>
                <c:pt idx="11">
                  <c:v>0.47552085410448619</c:v>
                </c:pt>
                <c:pt idx="12">
                  <c:v>0.27255159443733357</c:v>
                </c:pt>
                <c:pt idx="13">
                  <c:v>0.11933744511660446</c:v>
                </c:pt>
                <c:pt idx="14">
                  <c:v>8.1428789614570729E-2</c:v>
                </c:pt>
                <c:pt idx="15">
                  <c:v>-4.6554489213031444E-3</c:v>
                </c:pt>
                <c:pt idx="16">
                  <c:v>-1.6501903765689357E-2</c:v>
                </c:pt>
                <c:pt idx="17">
                  <c:v>-2.9138122266367267E-2</c:v>
                </c:pt>
                <c:pt idx="18">
                  <c:v>-0.16813652577383145</c:v>
                </c:pt>
                <c:pt idx="19">
                  <c:v>-0.37979318566019993</c:v>
                </c:pt>
                <c:pt idx="20">
                  <c:v>-0.44455380547617646</c:v>
                </c:pt>
                <c:pt idx="21">
                  <c:v>-0.47772387904046004</c:v>
                </c:pt>
                <c:pt idx="22">
                  <c:v>-0.51405300722991032</c:v>
                </c:pt>
                <c:pt idx="23">
                  <c:v>-0.58513173629622761</c:v>
                </c:pt>
                <c:pt idx="24">
                  <c:v>-0.63725613761152622</c:v>
                </c:pt>
                <c:pt idx="25">
                  <c:v>-0.63804590126781802</c:v>
                </c:pt>
                <c:pt idx="26">
                  <c:v>-0.64831282879962082</c:v>
                </c:pt>
                <c:pt idx="27">
                  <c:v>-0.6530514107373746</c:v>
                </c:pt>
                <c:pt idx="28">
                  <c:v>-0.71149392130301392</c:v>
                </c:pt>
                <c:pt idx="29">
                  <c:v>-0.75493092239909676</c:v>
                </c:pt>
                <c:pt idx="30">
                  <c:v>-0.75808997702426706</c:v>
                </c:pt>
                <c:pt idx="31">
                  <c:v>-0.76914666821236155</c:v>
                </c:pt>
                <c:pt idx="32">
                  <c:v>-0.96737734594175684</c:v>
                </c:pt>
                <c:pt idx="33">
                  <c:v>-1.17824424217183</c:v>
                </c:pt>
                <c:pt idx="34">
                  <c:v>-1.2556410804884881</c:v>
                </c:pt>
                <c:pt idx="35">
                  <c:v>-1.2753851718957985</c:v>
                </c:pt>
                <c:pt idx="36">
                  <c:v>-1.2959190269594005</c:v>
                </c:pt>
                <c:pt idx="37">
                  <c:v>-1.3298788641799757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72-46A3-92F2-907DDFA13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z-Score WHR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z-Method I+P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Fights vs WHR Score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WHR Score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'MEN -WHR 10 yr'!$F$9:$F$46</c:f>
              <c:numCache>
                <c:formatCode>General</c:formatCode>
                <c:ptCount val="38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14</c:v>
                </c:pt>
                <c:pt idx="4">
                  <c:v>18</c:v>
                </c:pt>
                <c:pt idx="5">
                  <c:v>23</c:v>
                </c:pt>
                <c:pt idx="6">
                  <c:v>19</c:v>
                </c:pt>
                <c:pt idx="7">
                  <c:v>19</c:v>
                </c:pt>
                <c:pt idx="8">
                  <c:v>18</c:v>
                </c:pt>
                <c:pt idx="9">
                  <c:v>32</c:v>
                </c:pt>
                <c:pt idx="10">
                  <c:v>19</c:v>
                </c:pt>
                <c:pt idx="11">
                  <c:v>14</c:v>
                </c:pt>
                <c:pt idx="12">
                  <c:v>20</c:v>
                </c:pt>
                <c:pt idx="13">
                  <c:v>14</c:v>
                </c:pt>
                <c:pt idx="14">
                  <c:v>30</c:v>
                </c:pt>
                <c:pt idx="15">
                  <c:v>23</c:v>
                </c:pt>
                <c:pt idx="16">
                  <c:v>13</c:v>
                </c:pt>
                <c:pt idx="17">
                  <c:v>18</c:v>
                </c:pt>
                <c:pt idx="18">
                  <c:v>15</c:v>
                </c:pt>
                <c:pt idx="19">
                  <c:v>23</c:v>
                </c:pt>
                <c:pt idx="20">
                  <c:v>21</c:v>
                </c:pt>
                <c:pt idx="21">
                  <c:v>16</c:v>
                </c:pt>
                <c:pt idx="22">
                  <c:v>15</c:v>
                </c:pt>
                <c:pt idx="23">
                  <c:v>13</c:v>
                </c:pt>
                <c:pt idx="24">
                  <c:v>24</c:v>
                </c:pt>
                <c:pt idx="25">
                  <c:v>31</c:v>
                </c:pt>
                <c:pt idx="26">
                  <c:v>20</c:v>
                </c:pt>
                <c:pt idx="27">
                  <c:v>16</c:v>
                </c:pt>
                <c:pt idx="28">
                  <c:v>27</c:v>
                </c:pt>
                <c:pt idx="29">
                  <c:v>16</c:v>
                </c:pt>
                <c:pt idx="30">
                  <c:v>18</c:v>
                </c:pt>
                <c:pt idx="31">
                  <c:v>14</c:v>
                </c:pt>
                <c:pt idx="32">
                  <c:v>20</c:v>
                </c:pt>
                <c:pt idx="33">
                  <c:v>23</c:v>
                </c:pt>
                <c:pt idx="34">
                  <c:v>17</c:v>
                </c:pt>
                <c:pt idx="35">
                  <c:v>20</c:v>
                </c:pt>
                <c:pt idx="36">
                  <c:v>13</c:v>
                </c:pt>
                <c:pt idx="37">
                  <c:v>18</c:v>
                </c:pt>
              </c:numCache>
            </c:numRef>
          </c:xVal>
          <c:yVal>
            <c:numRef>
              <c:f>'MEN -WHR 10 yr'!$G$9:$G$46</c:f>
              <c:numCache>
                <c:formatCode>General</c:formatCode>
                <c:ptCount val="38"/>
                <c:pt idx="0">
                  <c:v>1943.1</c:v>
                </c:pt>
                <c:pt idx="1">
                  <c:v>1999.2</c:v>
                </c:pt>
                <c:pt idx="2">
                  <c:v>1990.2</c:v>
                </c:pt>
                <c:pt idx="3">
                  <c:v>1877.7</c:v>
                </c:pt>
                <c:pt idx="4">
                  <c:v>1912.4</c:v>
                </c:pt>
                <c:pt idx="5">
                  <c:v>1885.5</c:v>
                </c:pt>
                <c:pt idx="6">
                  <c:v>1867.9</c:v>
                </c:pt>
                <c:pt idx="7">
                  <c:v>1857</c:v>
                </c:pt>
                <c:pt idx="8">
                  <c:v>1910.3</c:v>
                </c:pt>
                <c:pt idx="9">
                  <c:v>1844.4</c:v>
                </c:pt>
                <c:pt idx="10">
                  <c:v>1829.8</c:v>
                </c:pt>
                <c:pt idx="11">
                  <c:v>1787.7</c:v>
                </c:pt>
                <c:pt idx="12">
                  <c:v>1764.9</c:v>
                </c:pt>
                <c:pt idx="13">
                  <c:v>1774.9</c:v>
                </c:pt>
                <c:pt idx="14">
                  <c:v>1772.7</c:v>
                </c:pt>
                <c:pt idx="15">
                  <c:v>1743.4</c:v>
                </c:pt>
                <c:pt idx="16">
                  <c:v>1836.6</c:v>
                </c:pt>
                <c:pt idx="17">
                  <c:v>1933.6</c:v>
                </c:pt>
                <c:pt idx="18">
                  <c:v>1786</c:v>
                </c:pt>
                <c:pt idx="19">
                  <c:v>1789.4</c:v>
                </c:pt>
                <c:pt idx="20">
                  <c:v>1737.6</c:v>
                </c:pt>
                <c:pt idx="21">
                  <c:v>1789.5</c:v>
                </c:pt>
                <c:pt idx="22">
                  <c:v>1692.9</c:v>
                </c:pt>
                <c:pt idx="23">
                  <c:v>1669.6</c:v>
                </c:pt>
                <c:pt idx="24">
                  <c:v>1716.3</c:v>
                </c:pt>
                <c:pt idx="25">
                  <c:v>1709.8</c:v>
                </c:pt>
                <c:pt idx="26">
                  <c:v>1761.4</c:v>
                </c:pt>
                <c:pt idx="27">
                  <c:v>1732.4</c:v>
                </c:pt>
                <c:pt idx="28">
                  <c:v>1819.2</c:v>
                </c:pt>
                <c:pt idx="29">
                  <c:v>1743</c:v>
                </c:pt>
                <c:pt idx="30">
                  <c:v>1806</c:v>
                </c:pt>
                <c:pt idx="31">
                  <c:v>1760.7</c:v>
                </c:pt>
                <c:pt idx="32">
                  <c:v>1856.2</c:v>
                </c:pt>
                <c:pt idx="33">
                  <c:v>1849.9</c:v>
                </c:pt>
                <c:pt idx="34">
                  <c:v>1783.8</c:v>
                </c:pt>
                <c:pt idx="35">
                  <c:v>1772.8</c:v>
                </c:pt>
                <c:pt idx="36">
                  <c:v>1768</c:v>
                </c:pt>
                <c:pt idx="37">
                  <c:v>1772.9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2B-4ECE-8D99-A967549AB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Fights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WHR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Division Strength (Avg &amp; Max Score)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'MEN -WHR 10 yr'!$U$8</c:f>
              <c:strCache>
                <c:ptCount val="1"/>
                <c:pt idx="0">
                  <c:v>Avg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'MEN -WHR 10 yr'!$T$9:$T$16</c:f>
              <c:strCache>
                <c:ptCount val="8"/>
                <c:pt idx="0">
                  <c:v>Middleweight</c:v>
                </c:pt>
                <c:pt idx="1">
                  <c:v>Light Heavyweight</c:v>
                </c:pt>
                <c:pt idx="2">
                  <c:v>Welterweight</c:v>
                </c:pt>
                <c:pt idx="3">
                  <c:v>Featherweight</c:v>
                </c:pt>
                <c:pt idx="4">
                  <c:v>Lightweight</c:v>
                </c:pt>
                <c:pt idx="5">
                  <c:v>Heavyweight</c:v>
                </c:pt>
                <c:pt idx="6">
                  <c:v>Flyweight</c:v>
                </c:pt>
                <c:pt idx="7">
                  <c:v>Bantamweight</c:v>
                </c:pt>
              </c:strCache>
            </c:strRef>
          </c:cat>
          <c:val>
            <c:numRef>
              <c:f>'MEN -WHR 10 yr'!$U$9:$U$16</c:f>
              <c:numCache>
                <c:formatCode>0.0</c:formatCode>
                <c:ptCount val="8"/>
                <c:pt idx="0">
                  <c:v>1787.1999999999998</c:v>
                </c:pt>
                <c:pt idx="1">
                  <c:v>1883.2333333333333</c:v>
                </c:pt>
                <c:pt idx="2">
                  <c:v>1857.375</c:v>
                </c:pt>
                <c:pt idx="3">
                  <c:v>1854.3000000000002</c:v>
                </c:pt>
                <c:pt idx="4">
                  <c:v>1789.8857142857141</c:v>
                </c:pt>
                <c:pt idx="5">
                  <c:v>1790.6833333333334</c:v>
                </c:pt>
                <c:pt idx="6">
                  <c:v>1808.4</c:v>
                </c:pt>
                <c:pt idx="7">
                  <c:v>1780.55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9-4C13-866C-DBCA4BF1B55B}"/>
            </c:ext>
          </c:extLst>
        </c:ser>
        <c:ser>
          <c:idx val="1"/>
          <c:order val="1"/>
          <c:tx>
            <c:strRef>
              <c:f>'MEN -WHR 10 yr'!$V$8</c:f>
              <c:strCache>
                <c:ptCount val="1"/>
                <c:pt idx="0">
                  <c:v>Max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'MEN -WHR 10 yr'!$T$9:$T$16</c:f>
              <c:strCache>
                <c:ptCount val="8"/>
                <c:pt idx="0">
                  <c:v>Middleweight</c:v>
                </c:pt>
                <c:pt idx="1">
                  <c:v>Light Heavyweight</c:v>
                </c:pt>
                <c:pt idx="2">
                  <c:v>Welterweight</c:v>
                </c:pt>
                <c:pt idx="3">
                  <c:v>Featherweight</c:v>
                </c:pt>
                <c:pt idx="4">
                  <c:v>Lightweight</c:v>
                </c:pt>
                <c:pt idx="5">
                  <c:v>Heavyweight</c:v>
                </c:pt>
                <c:pt idx="6">
                  <c:v>Flyweight</c:v>
                </c:pt>
                <c:pt idx="7">
                  <c:v>Bantamweight</c:v>
                </c:pt>
              </c:strCache>
            </c:strRef>
          </c:cat>
          <c:val>
            <c:numRef>
              <c:f>'MEN -WHR 10 yr'!$V$9:$V$16</c:f>
              <c:numCache>
                <c:formatCode>0.0</c:formatCode>
                <c:ptCount val="8"/>
                <c:pt idx="0">
                  <c:v>1943.1</c:v>
                </c:pt>
                <c:pt idx="1">
                  <c:v>1999.2</c:v>
                </c:pt>
                <c:pt idx="2">
                  <c:v>1990.2</c:v>
                </c:pt>
                <c:pt idx="3">
                  <c:v>1912.4</c:v>
                </c:pt>
                <c:pt idx="4">
                  <c:v>1910.3</c:v>
                </c:pt>
                <c:pt idx="5">
                  <c:v>1856.2</c:v>
                </c:pt>
                <c:pt idx="6">
                  <c:v>1933.6</c:v>
                </c:pt>
                <c:pt idx="7">
                  <c:v>1806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59-4C13-866C-DBCA4BF1B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Score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CA"/>
              <a:t>Top 20: z-Score Profile by Metric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'MEN -WHR 10 yr'!$AB$8</c:f>
              <c:strCache>
                <c:ptCount val="1"/>
                <c:pt idx="0">
                  <c:v>z WHR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'MEN -WHR 10 yr'!$AA$9:$AA$28</c:f>
              <c:strCache>
                <c:ptCount val="20"/>
                <c:pt idx="0">
                  <c:v>Jon Jones</c:v>
                </c:pt>
                <c:pt idx="1">
                  <c:v>Georges St-Pierre</c:v>
                </c:pt>
                <c:pt idx="2">
                  <c:v>Anderson Silva</c:v>
                </c:pt>
                <c:pt idx="3">
                  <c:v>Demetrious Johnson</c:v>
                </c:pt>
                <c:pt idx="4">
                  <c:v>Alexander Volkanovski</c:v>
                </c:pt>
                <c:pt idx="5">
                  <c:v>Islam Makhachev</c:v>
                </c:pt>
                <c:pt idx="6">
                  <c:v>Jose Aldo</c:v>
                </c:pt>
                <c:pt idx="7">
                  <c:v>Daniel Cormier</c:v>
                </c:pt>
                <c:pt idx="8">
                  <c:v>Israel Adesanya</c:v>
                </c:pt>
                <c:pt idx="9">
                  <c:v>Kamaru Usman</c:v>
                </c:pt>
                <c:pt idx="10">
                  <c:v>Randy Couture</c:v>
                </c:pt>
                <c:pt idx="11">
                  <c:v>Matt Hughes</c:v>
                </c:pt>
                <c:pt idx="12">
                  <c:v>Max Holloway</c:v>
                </c:pt>
                <c:pt idx="13">
                  <c:v>Khabib Nurmagomedov</c:v>
                </c:pt>
                <c:pt idx="14">
                  <c:v>Stipe Miocic</c:v>
                </c:pt>
                <c:pt idx="15">
                  <c:v>BJ Penn</c:v>
                </c:pt>
                <c:pt idx="16">
                  <c:v>TJ Dillashaw</c:v>
                </c:pt>
                <c:pt idx="17">
                  <c:v>Henry Cejudo</c:v>
                </c:pt>
                <c:pt idx="18">
                  <c:v>Aljamain Sterling</c:v>
                </c:pt>
                <c:pt idx="19">
                  <c:v>Benson Henderson</c:v>
                </c:pt>
              </c:strCache>
            </c:strRef>
          </c:cat>
          <c:val>
            <c:numRef>
              <c:f>'MEN -WHR 10 yr'!$AB$9:$AB$28</c:f>
              <c:numCache>
                <c:formatCode>0.00</c:formatCode>
                <c:ptCount val="20"/>
                <c:pt idx="0">
                  <c:v>2.3632077643350882</c:v>
                </c:pt>
                <c:pt idx="1">
                  <c:v>2.2497084797779956</c:v>
                </c:pt>
                <c:pt idx="2">
                  <c:v>1.6557288905958756</c:v>
                </c:pt>
                <c:pt idx="3">
                  <c:v>1.5359240902300555</c:v>
                </c:pt>
                <c:pt idx="4">
                  <c:v>1.2685702199400173</c:v>
                </c:pt>
                <c:pt idx="5">
                  <c:v>1.2420870535433606</c:v>
                </c:pt>
                <c:pt idx="6">
                  <c:v>0.92933346943048356</c:v>
                </c:pt>
                <c:pt idx="7">
                  <c:v>0.83096742281433711</c:v>
                </c:pt>
                <c:pt idx="8">
                  <c:v>0.70737931296328127</c:v>
                </c:pt>
                <c:pt idx="9">
                  <c:v>0.56991906833302342</c:v>
                </c:pt>
                <c:pt idx="10">
                  <c:v>0.55983024303906015</c:v>
                </c:pt>
                <c:pt idx="11">
                  <c:v>0.48038074384909585</c:v>
                </c:pt>
                <c:pt idx="12">
                  <c:v>0.41102006995309476</c:v>
                </c:pt>
                <c:pt idx="13">
                  <c:v>0.31265402333694547</c:v>
                </c:pt>
                <c:pt idx="14">
                  <c:v>0.2268990083382538</c:v>
                </c:pt>
                <c:pt idx="15">
                  <c:v>9.3222073193234681E-2</c:v>
                </c:pt>
                <c:pt idx="16">
                  <c:v>-7.3243544157168494E-2</c:v>
                </c:pt>
                <c:pt idx="17">
                  <c:v>-0.28132556584517177</c:v>
                </c:pt>
                <c:pt idx="18">
                  <c:v>-0.28258666900691609</c:v>
                </c:pt>
                <c:pt idx="19">
                  <c:v>-0.30402542275658972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9-4D6C-AF70-0FE9626446AF}"/>
            </c:ext>
          </c:extLst>
        </c:ser>
        <c:ser>
          <c:idx val="1"/>
          <c:order val="1"/>
          <c:tx>
            <c:strRef>
              <c:f>'MEN -WHR 10 yr'!$AC$8</c:f>
              <c:strCache>
                <c:ptCount val="1"/>
                <c:pt idx="0">
                  <c:v>z WHR I+P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'MEN -WHR 10 yr'!$AA$9:$AA$28</c:f>
              <c:strCache>
                <c:ptCount val="20"/>
                <c:pt idx="0">
                  <c:v>Jon Jones</c:v>
                </c:pt>
                <c:pt idx="1">
                  <c:v>Georges St-Pierre</c:v>
                </c:pt>
                <c:pt idx="2">
                  <c:v>Anderson Silva</c:v>
                </c:pt>
                <c:pt idx="3">
                  <c:v>Demetrious Johnson</c:v>
                </c:pt>
                <c:pt idx="4">
                  <c:v>Alexander Volkanovski</c:v>
                </c:pt>
                <c:pt idx="5">
                  <c:v>Islam Makhachev</c:v>
                </c:pt>
                <c:pt idx="6">
                  <c:v>Jose Aldo</c:v>
                </c:pt>
                <c:pt idx="7">
                  <c:v>Daniel Cormier</c:v>
                </c:pt>
                <c:pt idx="8">
                  <c:v>Israel Adesanya</c:v>
                </c:pt>
                <c:pt idx="9">
                  <c:v>Kamaru Usman</c:v>
                </c:pt>
                <c:pt idx="10">
                  <c:v>Randy Couture</c:v>
                </c:pt>
                <c:pt idx="11">
                  <c:v>Matt Hughes</c:v>
                </c:pt>
                <c:pt idx="12">
                  <c:v>Max Holloway</c:v>
                </c:pt>
                <c:pt idx="13">
                  <c:v>Khabib Nurmagomedov</c:v>
                </c:pt>
                <c:pt idx="14">
                  <c:v>Stipe Miocic</c:v>
                </c:pt>
                <c:pt idx="15">
                  <c:v>BJ Penn</c:v>
                </c:pt>
                <c:pt idx="16">
                  <c:v>TJ Dillashaw</c:v>
                </c:pt>
                <c:pt idx="17">
                  <c:v>Henry Cejudo</c:v>
                </c:pt>
                <c:pt idx="18">
                  <c:v>Aljamain Sterling</c:v>
                </c:pt>
                <c:pt idx="19">
                  <c:v>Benson Henderson</c:v>
                </c:pt>
              </c:strCache>
            </c:strRef>
          </c:cat>
          <c:val>
            <c:numRef>
              <c:f>'MEN -WHR 10 yr'!$AC$9:$AC$28</c:f>
              <c:numCache>
                <c:formatCode>0.00</c:formatCode>
                <c:ptCount val="20"/>
                <c:pt idx="0">
                  <c:v>2.3421107401476982</c:v>
                </c:pt>
                <c:pt idx="1">
                  <c:v>2.26389652464397</c:v>
                </c:pt>
                <c:pt idx="2">
                  <c:v>1.6432288790337446</c:v>
                </c:pt>
                <c:pt idx="3">
                  <c:v>1.4968926048654811</c:v>
                </c:pt>
                <c:pt idx="4">
                  <c:v>1.3089261837355541</c:v>
                </c:pt>
                <c:pt idx="5">
                  <c:v>1.2294504486269284</c:v>
                </c:pt>
                <c:pt idx="6">
                  <c:v>0.95191613554918553</c:v>
                </c:pt>
                <c:pt idx="7">
                  <c:v>0.84594848873768547</c:v>
                </c:pt>
                <c:pt idx="8">
                  <c:v>0.76016515560456266</c:v>
                </c:pt>
                <c:pt idx="9">
                  <c:v>0.57219873447463854</c:v>
                </c:pt>
                <c:pt idx="10">
                  <c:v>0.58733696973342508</c:v>
                </c:pt>
                <c:pt idx="11">
                  <c:v>0.43847765635536073</c:v>
                </c:pt>
                <c:pt idx="12">
                  <c:v>0.44478525437985489</c:v>
                </c:pt>
                <c:pt idx="13">
                  <c:v>0.26817250969401851</c:v>
                </c:pt>
                <c:pt idx="14">
                  <c:v>0.25934187245972901</c:v>
                </c:pt>
                <c:pt idx="15">
                  <c:v>7.2636970934699674E-2</c:v>
                </c:pt>
                <c:pt idx="16">
                  <c:v>-9.7668175726642534E-2</c:v>
                </c:pt>
                <c:pt idx="17">
                  <c:v>-0.28185003804187075</c:v>
                </c:pt>
                <c:pt idx="18">
                  <c:v>-0.27806547922717484</c:v>
                </c:pt>
                <c:pt idx="19">
                  <c:v>-0.25788116554879181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C9-4D6C-AF70-0FE9626446AF}"/>
            </c:ext>
          </c:extLst>
        </c:ser>
        <c:ser>
          <c:idx val="2"/>
          <c:order val="2"/>
          <c:tx>
            <c:strRef>
              <c:f>'MEN -WHR 10 yr'!$AD$8</c:f>
              <c:strCache>
                <c:ptCount val="1"/>
                <c:pt idx="0">
                  <c:v>z Method I+P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'MEN -WHR 10 yr'!$AA$9:$AA$28</c:f>
              <c:strCache>
                <c:ptCount val="20"/>
                <c:pt idx="0">
                  <c:v>Jon Jones</c:v>
                </c:pt>
                <c:pt idx="1">
                  <c:v>Georges St-Pierre</c:v>
                </c:pt>
                <c:pt idx="2">
                  <c:v>Anderson Silva</c:v>
                </c:pt>
                <c:pt idx="3">
                  <c:v>Demetrious Johnson</c:v>
                </c:pt>
                <c:pt idx="4">
                  <c:v>Alexander Volkanovski</c:v>
                </c:pt>
                <c:pt idx="5">
                  <c:v>Islam Makhachev</c:v>
                </c:pt>
                <c:pt idx="6">
                  <c:v>Jose Aldo</c:v>
                </c:pt>
                <c:pt idx="7">
                  <c:v>Daniel Cormier</c:v>
                </c:pt>
                <c:pt idx="8">
                  <c:v>Israel Adesanya</c:v>
                </c:pt>
                <c:pt idx="9">
                  <c:v>Kamaru Usman</c:v>
                </c:pt>
                <c:pt idx="10">
                  <c:v>Randy Couture</c:v>
                </c:pt>
                <c:pt idx="11">
                  <c:v>Matt Hughes</c:v>
                </c:pt>
                <c:pt idx="12">
                  <c:v>Max Holloway</c:v>
                </c:pt>
                <c:pt idx="13">
                  <c:v>Khabib Nurmagomedov</c:v>
                </c:pt>
                <c:pt idx="14">
                  <c:v>Stipe Miocic</c:v>
                </c:pt>
                <c:pt idx="15">
                  <c:v>BJ Penn</c:v>
                </c:pt>
                <c:pt idx="16">
                  <c:v>TJ Dillashaw</c:v>
                </c:pt>
                <c:pt idx="17">
                  <c:v>Henry Cejudo</c:v>
                </c:pt>
                <c:pt idx="18">
                  <c:v>Aljamain Sterling</c:v>
                </c:pt>
                <c:pt idx="19">
                  <c:v>Benson Henderson</c:v>
                </c:pt>
              </c:strCache>
            </c:strRef>
          </c:cat>
          <c:val>
            <c:numRef>
              <c:f>'MEN -WHR 10 yr'!$AD$9:$AD$28</c:f>
              <c:numCache>
                <c:formatCode>0.00</c:formatCode>
                <c:ptCount val="20"/>
                <c:pt idx="0">
                  <c:v>2.2224780618233053</c:v>
                </c:pt>
                <c:pt idx="1">
                  <c:v>1.5693435180694799</c:v>
                </c:pt>
                <c:pt idx="2">
                  <c:v>2.3962260662076362</c:v>
                </c:pt>
                <c:pt idx="3">
                  <c:v>-2.9138122266367267E-2</c:v>
                </c:pt>
                <c:pt idx="4">
                  <c:v>1.3624254401208653</c:v>
                </c:pt>
                <c:pt idx="5">
                  <c:v>0.83881213599899673</c:v>
                </c:pt>
                <c:pt idx="6">
                  <c:v>1.2771309652412868</c:v>
                </c:pt>
                <c:pt idx="7">
                  <c:v>1.3782207132467135</c:v>
                </c:pt>
                <c:pt idx="8">
                  <c:v>1.2739719106161163</c:v>
                </c:pt>
                <c:pt idx="9">
                  <c:v>0.95569715713027192</c:v>
                </c:pt>
                <c:pt idx="10">
                  <c:v>-0.96737734594175684</c:v>
                </c:pt>
                <c:pt idx="11">
                  <c:v>-1.17824424217183</c:v>
                </c:pt>
                <c:pt idx="12">
                  <c:v>0.73061451508693387</c:v>
                </c:pt>
                <c:pt idx="13">
                  <c:v>-1.6501903765689357E-2</c:v>
                </c:pt>
                <c:pt idx="14">
                  <c:v>0.53870194660787929</c:v>
                </c:pt>
                <c:pt idx="15">
                  <c:v>-0.71149392130301392</c:v>
                </c:pt>
                <c:pt idx="16">
                  <c:v>-0.75808997702426706</c:v>
                </c:pt>
                <c:pt idx="17">
                  <c:v>-0.47772387904046004</c:v>
                </c:pt>
                <c:pt idx="18">
                  <c:v>-0.37979318566019993</c:v>
                </c:pt>
                <c:pt idx="19">
                  <c:v>0.47552085410448619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C9-4D6C-AF70-0FE9626446AF}"/>
            </c:ext>
          </c:extLst>
        </c:ser>
        <c:ser>
          <c:idx val="3"/>
          <c:order val="3"/>
          <c:tx>
            <c:strRef>
              <c:f>'MEN -WHR 10 yr'!$AE$8</c:f>
              <c:strCache>
                <c:ptCount val="1"/>
                <c:pt idx="0">
                  <c:v>z Canonical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'MEN -WHR 10 yr'!$AA$9:$AA$28</c:f>
              <c:strCache>
                <c:ptCount val="20"/>
                <c:pt idx="0">
                  <c:v>Jon Jones</c:v>
                </c:pt>
                <c:pt idx="1">
                  <c:v>Georges St-Pierre</c:v>
                </c:pt>
                <c:pt idx="2">
                  <c:v>Anderson Silva</c:v>
                </c:pt>
                <c:pt idx="3">
                  <c:v>Demetrious Johnson</c:v>
                </c:pt>
                <c:pt idx="4">
                  <c:v>Alexander Volkanovski</c:v>
                </c:pt>
                <c:pt idx="5">
                  <c:v>Islam Makhachev</c:v>
                </c:pt>
                <c:pt idx="6">
                  <c:v>Jose Aldo</c:v>
                </c:pt>
                <c:pt idx="7">
                  <c:v>Daniel Cormier</c:v>
                </c:pt>
                <c:pt idx="8">
                  <c:v>Israel Adesanya</c:v>
                </c:pt>
                <c:pt idx="9">
                  <c:v>Kamaru Usman</c:v>
                </c:pt>
                <c:pt idx="10">
                  <c:v>Randy Couture</c:v>
                </c:pt>
                <c:pt idx="11">
                  <c:v>Matt Hughes</c:v>
                </c:pt>
                <c:pt idx="12">
                  <c:v>Max Holloway</c:v>
                </c:pt>
                <c:pt idx="13">
                  <c:v>Khabib Nurmagomedov</c:v>
                </c:pt>
                <c:pt idx="14">
                  <c:v>Stipe Miocic</c:v>
                </c:pt>
                <c:pt idx="15">
                  <c:v>BJ Penn</c:v>
                </c:pt>
                <c:pt idx="16">
                  <c:v>TJ Dillashaw</c:v>
                </c:pt>
                <c:pt idx="17">
                  <c:v>Henry Cejudo</c:v>
                </c:pt>
                <c:pt idx="18">
                  <c:v>Aljamain Sterling</c:v>
                </c:pt>
                <c:pt idx="19">
                  <c:v>Benson Henderson</c:v>
                </c:pt>
              </c:strCache>
            </c:strRef>
          </c:cat>
          <c:val>
            <c:numRef>
              <c:f>'MEN -WHR 10 yr'!$AE$9:$AE$28</c:f>
              <c:numCache>
                <c:formatCode>0.00</c:formatCode>
                <c:ptCount val="20"/>
                <c:pt idx="0">
                  <c:v>2.2479963716538367</c:v>
                </c:pt>
                <c:pt idx="1">
                  <c:v>1.5022795885212548</c:v>
                </c:pt>
                <c:pt idx="2">
                  <c:v>2.4107711103376133</c:v>
                </c:pt>
                <c:pt idx="3">
                  <c:v>0.1848466049870249</c:v>
                </c:pt>
                <c:pt idx="4">
                  <c:v>1.4092654521305248</c:v>
                </c:pt>
                <c:pt idx="5">
                  <c:v>0.90249877800171407</c:v>
                </c:pt>
                <c:pt idx="6">
                  <c:v>1.221633487342326</c:v>
                </c:pt>
                <c:pt idx="7">
                  <c:v>1.2072002592816939</c:v>
                </c:pt>
                <c:pt idx="8">
                  <c:v>1.2240390253524289</c:v>
                </c:pt>
                <c:pt idx="9">
                  <c:v>1.0773012067360197</c:v>
                </c:pt>
                <c:pt idx="10">
                  <c:v>-0.71241907278217942</c:v>
                </c:pt>
                <c:pt idx="11">
                  <c:v>-1.1606509886650942</c:v>
                </c:pt>
                <c:pt idx="12">
                  <c:v>0.67798189705857115</c:v>
                </c:pt>
                <c:pt idx="13">
                  <c:v>0.10065277463334628</c:v>
                </c:pt>
                <c:pt idx="14">
                  <c:v>0.41898563797059052</c:v>
                </c:pt>
                <c:pt idx="15">
                  <c:v>-0.65468616053965478</c:v>
                </c:pt>
                <c:pt idx="16">
                  <c:v>-0.71241907278217942</c:v>
                </c:pt>
                <c:pt idx="17">
                  <c:v>-0.46785604175482726</c:v>
                </c:pt>
                <c:pt idx="18">
                  <c:v>-0.39809543946177706</c:v>
                </c:pt>
                <c:pt idx="19">
                  <c:v>0.5264330024219489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C9-4D6C-AF70-0FE962644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z-score (vs field)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CA"/>
              <a:t>Top 20: Rank Under Each Metric (1 = best)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'MEN -WHR 10 yr'!$AF$8</c:f>
              <c:strCache>
                <c:ptCount val="1"/>
                <c:pt idx="0">
                  <c:v>R WHR 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'MEN -WHR 10 yr'!$AA$9:$AA$28</c:f>
              <c:strCache>
                <c:ptCount val="20"/>
                <c:pt idx="0">
                  <c:v>Jon Jones</c:v>
                </c:pt>
                <c:pt idx="1">
                  <c:v>Georges St-Pierre</c:v>
                </c:pt>
                <c:pt idx="2">
                  <c:v>Anderson Silva</c:v>
                </c:pt>
                <c:pt idx="3">
                  <c:v>Demetrious Johnson</c:v>
                </c:pt>
                <c:pt idx="4">
                  <c:v>Alexander Volkanovski</c:v>
                </c:pt>
                <c:pt idx="5">
                  <c:v>Islam Makhachev</c:v>
                </c:pt>
                <c:pt idx="6">
                  <c:v>Jose Aldo</c:v>
                </c:pt>
                <c:pt idx="7">
                  <c:v>Daniel Cormier</c:v>
                </c:pt>
                <c:pt idx="8">
                  <c:v>Israel Adesanya</c:v>
                </c:pt>
                <c:pt idx="9">
                  <c:v>Kamaru Usman</c:v>
                </c:pt>
                <c:pt idx="10">
                  <c:v>Randy Couture</c:v>
                </c:pt>
                <c:pt idx="11">
                  <c:v>Matt Hughes</c:v>
                </c:pt>
                <c:pt idx="12">
                  <c:v>Max Holloway</c:v>
                </c:pt>
                <c:pt idx="13">
                  <c:v>Khabib Nurmagomedov</c:v>
                </c:pt>
                <c:pt idx="14">
                  <c:v>Stipe Miocic</c:v>
                </c:pt>
                <c:pt idx="15">
                  <c:v>BJ Penn</c:v>
                </c:pt>
                <c:pt idx="16">
                  <c:v>TJ Dillashaw</c:v>
                </c:pt>
                <c:pt idx="17">
                  <c:v>Henry Cejudo</c:v>
                </c:pt>
                <c:pt idx="18">
                  <c:v>Aljamain Sterling</c:v>
                </c:pt>
                <c:pt idx="19">
                  <c:v>Benson Henderson</c:v>
                </c:pt>
              </c:strCache>
            </c:strRef>
          </c:cat>
          <c:val>
            <c:numRef>
              <c:f>'MEN -WHR 10 yr'!$AF$9:$AF$28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A0-4F36-9094-0E7A1E356B8A}"/>
            </c:ext>
          </c:extLst>
        </c:ser>
        <c:ser>
          <c:idx val="1"/>
          <c:order val="1"/>
          <c:tx>
            <c:strRef>
              <c:f>'MEN -WHR 10 yr'!$AG$8</c:f>
              <c:strCache>
                <c:ptCount val="1"/>
                <c:pt idx="0">
                  <c:v>R WHR I+P 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'MEN -WHR 10 yr'!$AA$9:$AA$28</c:f>
              <c:strCache>
                <c:ptCount val="20"/>
                <c:pt idx="0">
                  <c:v>Jon Jones</c:v>
                </c:pt>
                <c:pt idx="1">
                  <c:v>Georges St-Pierre</c:v>
                </c:pt>
                <c:pt idx="2">
                  <c:v>Anderson Silva</c:v>
                </c:pt>
                <c:pt idx="3">
                  <c:v>Demetrious Johnson</c:v>
                </c:pt>
                <c:pt idx="4">
                  <c:v>Alexander Volkanovski</c:v>
                </c:pt>
                <c:pt idx="5">
                  <c:v>Islam Makhachev</c:v>
                </c:pt>
                <c:pt idx="6">
                  <c:v>Jose Aldo</c:v>
                </c:pt>
                <c:pt idx="7">
                  <c:v>Daniel Cormier</c:v>
                </c:pt>
                <c:pt idx="8">
                  <c:v>Israel Adesanya</c:v>
                </c:pt>
                <c:pt idx="9">
                  <c:v>Kamaru Usman</c:v>
                </c:pt>
                <c:pt idx="10">
                  <c:v>Randy Couture</c:v>
                </c:pt>
                <c:pt idx="11">
                  <c:v>Matt Hughes</c:v>
                </c:pt>
                <c:pt idx="12">
                  <c:v>Max Holloway</c:v>
                </c:pt>
                <c:pt idx="13">
                  <c:v>Khabib Nurmagomedov</c:v>
                </c:pt>
                <c:pt idx="14">
                  <c:v>Stipe Miocic</c:v>
                </c:pt>
                <c:pt idx="15">
                  <c:v>BJ Penn</c:v>
                </c:pt>
                <c:pt idx="16">
                  <c:v>TJ Dillashaw</c:v>
                </c:pt>
                <c:pt idx="17">
                  <c:v>Henry Cejudo</c:v>
                </c:pt>
                <c:pt idx="18">
                  <c:v>Aljamain Sterling</c:v>
                </c:pt>
                <c:pt idx="19">
                  <c:v>Benson Henderson</c:v>
                </c:pt>
              </c:strCache>
            </c:strRef>
          </c:cat>
          <c:val>
            <c:numRef>
              <c:f>'MEN -WHR 10 yr'!$AG$9:$AG$28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11</c:v>
                </c:pt>
                <c:pt idx="10">
                  <c:v>10</c:v>
                </c:pt>
                <c:pt idx="11">
                  <c:v>13</c:v>
                </c:pt>
                <c:pt idx="12">
                  <c:v>12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20</c:v>
                </c:pt>
                <c:pt idx="18">
                  <c:v>19</c:v>
                </c:pt>
                <c:pt idx="19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1A0-4F36-9094-0E7A1E356B8A}"/>
            </c:ext>
          </c:extLst>
        </c:ser>
        <c:ser>
          <c:idx val="2"/>
          <c:order val="2"/>
          <c:tx>
            <c:strRef>
              <c:f>'MEN -WHR 10 yr'!$AH$8</c:f>
              <c:strCache>
                <c:ptCount val="1"/>
                <c:pt idx="0">
                  <c:v>R Method I+P 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'MEN -WHR 10 yr'!$AA$9:$AA$28</c:f>
              <c:strCache>
                <c:ptCount val="20"/>
                <c:pt idx="0">
                  <c:v>Jon Jones</c:v>
                </c:pt>
                <c:pt idx="1">
                  <c:v>Georges St-Pierre</c:v>
                </c:pt>
                <c:pt idx="2">
                  <c:v>Anderson Silva</c:v>
                </c:pt>
                <c:pt idx="3">
                  <c:v>Demetrious Johnson</c:v>
                </c:pt>
                <c:pt idx="4">
                  <c:v>Alexander Volkanovski</c:v>
                </c:pt>
                <c:pt idx="5">
                  <c:v>Islam Makhachev</c:v>
                </c:pt>
                <c:pt idx="6">
                  <c:v>Jose Aldo</c:v>
                </c:pt>
                <c:pt idx="7">
                  <c:v>Daniel Cormier</c:v>
                </c:pt>
                <c:pt idx="8">
                  <c:v>Israel Adesanya</c:v>
                </c:pt>
                <c:pt idx="9">
                  <c:v>Kamaru Usman</c:v>
                </c:pt>
                <c:pt idx="10">
                  <c:v>Randy Couture</c:v>
                </c:pt>
                <c:pt idx="11">
                  <c:v>Matt Hughes</c:v>
                </c:pt>
                <c:pt idx="12">
                  <c:v>Max Holloway</c:v>
                </c:pt>
                <c:pt idx="13">
                  <c:v>Khabib Nurmagomedov</c:v>
                </c:pt>
                <c:pt idx="14">
                  <c:v>Stipe Miocic</c:v>
                </c:pt>
                <c:pt idx="15">
                  <c:v>BJ Penn</c:v>
                </c:pt>
                <c:pt idx="16">
                  <c:v>TJ Dillashaw</c:v>
                </c:pt>
                <c:pt idx="17">
                  <c:v>Henry Cejudo</c:v>
                </c:pt>
                <c:pt idx="18">
                  <c:v>Aljamain Sterling</c:v>
                </c:pt>
                <c:pt idx="19">
                  <c:v>Benson Henderson</c:v>
                </c:pt>
              </c:strCache>
            </c:strRef>
          </c:cat>
          <c:val>
            <c:numRef>
              <c:f>'MEN -WHR 10 yr'!$AH$9:$AH$28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18</c:v>
                </c:pt>
                <c:pt idx="4">
                  <c:v>5</c:v>
                </c:pt>
                <c:pt idx="5">
                  <c:v>9</c:v>
                </c:pt>
                <c:pt idx="6">
                  <c:v>6</c:v>
                </c:pt>
                <c:pt idx="7">
                  <c:v>4</c:v>
                </c:pt>
                <c:pt idx="8">
                  <c:v>7</c:v>
                </c:pt>
                <c:pt idx="9">
                  <c:v>8</c:v>
                </c:pt>
                <c:pt idx="10">
                  <c:v>33</c:v>
                </c:pt>
                <c:pt idx="11">
                  <c:v>34</c:v>
                </c:pt>
                <c:pt idx="12">
                  <c:v>10</c:v>
                </c:pt>
                <c:pt idx="13">
                  <c:v>17</c:v>
                </c:pt>
                <c:pt idx="14">
                  <c:v>11</c:v>
                </c:pt>
                <c:pt idx="15">
                  <c:v>29</c:v>
                </c:pt>
                <c:pt idx="16">
                  <c:v>31</c:v>
                </c:pt>
                <c:pt idx="17">
                  <c:v>22</c:v>
                </c:pt>
                <c:pt idx="18">
                  <c:v>20</c:v>
                </c:pt>
                <c:pt idx="19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1A0-4F36-9094-0E7A1E356B8A}"/>
            </c:ext>
          </c:extLst>
        </c:ser>
        <c:ser>
          <c:idx val="3"/>
          <c:order val="3"/>
          <c:tx>
            <c:strRef>
              <c:f>'MEN -WHR 10 yr'!$AI$8</c:f>
              <c:strCache>
                <c:ptCount val="1"/>
                <c:pt idx="0">
                  <c:v>R Canonical 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'MEN -WHR 10 yr'!$AA$9:$AA$28</c:f>
              <c:strCache>
                <c:ptCount val="20"/>
                <c:pt idx="0">
                  <c:v>Jon Jones</c:v>
                </c:pt>
                <c:pt idx="1">
                  <c:v>Georges St-Pierre</c:v>
                </c:pt>
                <c:pt idx="2">
                  <c:v>Anderson Silva</c:v>
                </c:pt>
                <c:pt idx="3">
                  <c:v>Demetrious Johnson</c:v>
                </c:pt>
                <c:pt idx="4">
                  <c:v>Alexander Volkanovski</c:v>
                </c:pt>
                <c:pt idx="5">
                  <c:v>Islam Makhachev</c:v>
                </c:pt>
                <c:pt idx="6">
                  <c:v>Jose Aldo</c:v>
                </c:pt>
                <c:pt idx="7">
                  <c:v>Daniel Cormier</c:v>
                </c:pt>
                <c:pt idx="8">
                  <c:v>Israel Adesanya</c:v>
                </c:pt>
                <c:pt idx="9">
                  <c:v>Kamaru Usman</c:v>
                </c:pt>
                <c:pt idx="10">
                  <c:v>Randy Couture</c:v>
                </c:pt>
                <c:pt idx="11">
                  <c:v>Matt Hughes</c:v>
                </c:pt>
                <c:pt idx="12">
                  <c:v>Max Holloway</c:v>
                </c:pt>
                <c:pt idx="13">
                  <c:v>Khabib Nurmagomedov</c:v>
                </c:pt>
                <c:pt idx="14">
                  <c:v>Stipe Miocic</c:v>
                </c:pt>
                <c:pt idx="15">
                  <c:v>BJ Penn</c:v>
                </c:pt>
                <c:pt idx="16">
                  <c:v>TJ Dillashaw</c:v>
                </c:pt>
                <c:pt idx="17">
                  <c:v>Henry Cejudo</c:v>
                </c:pt>
                <c:pt idx="18">
                  <c:v>Aljamain Sterling</c:v>
                </c:pt>
                <c:pt idx="19">
                  <c:v>Benson Henderson</c:v>
                </c:pt>
              </c:strCache>
            </c:strRef>
          </c:cat>
          <c:val>
            <c:numRef>
              <c:f>'MEN -WHR 10 yr'!$AI$9:$AI$28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14</c:v>
                </c:pt>
                <c:pt idx="4">
                  <c:v>4</c:v>
                </c:pt>
                <c:pt idx="5">
                  <c:v>9</c:v>
                </c:pt>
                <c:pt idx="6">
                  <c:v>6</c:v>
                </c:pt>
                <c:pt idx="7">
                  <c:v>7</c:v>
                </c:pt>
                <c:pt idx="8">
                  <c:v>5</c:v>
                </c:pt>
                <c:pt idx="9">
                  <c:v>8</c:v>
                </c:pt>
                <c:pt idx="10">
                  <c:v>27</c:v>
                </c:pt>
                <c:pt idx="11">
                  <c:v>35</c:v>
                </c:pt>
                <c:pt idx="12">
                  <c:v>10</c:v>
                </c:pt>
                <c:pt idx="13">
                  <c:v>16</c:v>
                </c:pt>
                <c:pt idx="14">
                  <c:v>12</c:v>
                </c:pt>
                <c:pt idx="15">
                  <c:v>26</c:v>
                </c:pt>
                <c:pt idx="16">
                  <c:v>27</c:v>
                </c:pt>
                <c:pt idx="17">
                  <c:v>21</c:v>
                </c:pt>
                <c:pt idx="18">
                  <c:v>20</c:v>
                </c:pt>
                <c:pt idx="19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1A0-4F36-9094-0E7A1E356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axMin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Rank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CA"/>
              <a:t>Top 20: Consistency vs Peak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Top 20 fighter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xVal>
            <c:numRef>
              <c:f>'MEN -WHR 10 yr'!$AJ$9:$AJ$28</c:f>
              <c:numCache>
                <c:formatCode>0.0</c:formatCode>
                <c:ptCount val="20"/>
                <c:pt idx="0">
                  <c:v>1.5</c:v>
                </c:pt>
                <c:pt idx="1">
                  <c:v>2.5</c:v>
                </c:pt>
                <c:pt idx="2">
                  <c:v>2</c:v>
                </c:pt>
                <c:pt idx="3">
                  <c:v>10</c:v>
                </c:pt>
                <c:pt idx="4">
                  <c:v>4.75</c:v>
                </c:pt>
                <c:pt idx="5">
                  <c:v>7.5</c:v>
                </c:pt>
                <c:pt idx="6">
                  <c:v>6.5</c:v>
                </c:pt>
                <c:pt idx="7">
                  <c:v>6.75</c:v>
                </c:pt>
                <c:pt idx="8">
                  <c:v>7.5</c:v>
                </c:pt>
                <c:pt idx="9">
                  <c:v>9.25</c:v>
                </c:pt>
                <c:pt idx="10">
                  <c:v>20.25</c:v>
                </c:pt>
                <c:pt idx="11">
                  <c:v>23.5</c:v>
                </c:pt>
                <c:pt idx="12">
                  <c:v>11.25</c:v>
                </c:pt>
                <c:pt idx="13">
                  <c:v>15.25</c:v>
                </c:pt>
                <c:pt idx="14">
                  <c:v>13.25</c:v>
                </c:pt>
                <c:pt idx="15">
                  <c:v>21.75</c:v>
                </c:pt>
                <c:pt idx="16">
                  <c:v>23</c:v>
                </c:pt>
                <c:pt idx="17">
                  <c:v>20.25</c:v>
                </c:pt>
                <c:pt idx="18">
                  <c:v>19.5</c:v>
                </c:pt>
                <c:pt idx="19">
                  <c:v>15.25</c:v>
                </c:pt>
              </c:numCache>
            </c:numRef>
          </c:xVal>
          <c:yVal>
            <c:numRef>
              <c:f>'MEN -WHR 10 yr'!$AK$9:$AK$28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14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23</c:v>
                </c:pt>
                <c:pt idx="11">
                  <c:v>23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13</c:v>
                </c:pt>
                <c:pt idx="16">
                  <c:v>14</c:v>
                </c:pt>
                <c:pt idx="17">
                  <c:v>4</c:v>
                </c:pt>
                <c:pt idx="18">
                  <c:v>1</c:v>
                </c:pt>
                <c:pt idx="19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8B-40F4-99CC-2FBCAB233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Avg Rank across metrics (lower = stronger)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Rank Spread (higher = metrics disagree)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Metric Disagreement: z WHR Score vs z Method I+P Score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z Method I+P Score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'MEN -WHR 5 yr'!$J$9:$J$47</c:f>
              <c:numCache>
                <c:formatCode>0.00</c:formatCode>
                <c:ptCount val="39"/>
                <c:pt idx="0">
                  <c:v>1.9875443326260613</c:v>
                </c:pt>
                <c:pt idx="1">
                  <c:v>1.8741375355537249</c:v>
                </c:pt>
                <c:pt idx="2">
                  <c:v>1.8604740660269377</c:v>
                </c:pt>
                <c:pt idx="3">
                  <c:v>1.7525326567653206</c:v>
                </c:pt>
                <c:pt idx="4">
                  <c:v>1.5147882869992215</c:v>
                </c:pt>
                <c:pt idx="5">
                  <c:v>0.93272448515808704</c:v>
                </c:pt>
                <c:pt idx="6">
                  <c:v>0.85074366799736378</c:v>
                </c:pt>
                <c:pt idx="7">
                  <c:v>0.83024846370718286</c:v>
                </c:pt>
                <c:pt idx="8">
                  <c:v>0.75373303435717254</c:v>
                </c:pt>
                <c:pt idx="9">
                  <c:v>0.75100034045181763</c:v>
                </c:pt>
                <c:pt idx="10">
                  <c:v>0.63486084947412624</c:v>
                </c:pt>
                <c:pt idx="11">
                  <c:v>0.60070217565715811</c:v>
                </c:pt>
                <c:pt idx="12">
                  <c:v>0.48729537858482169</c:v>
                </c:pt>
                <c:pt idx="13">
                  <c:v>0.47773094991607312</c:v>
                </c:pt>
                <c:pt idx="14">
                  <c:v>0.10198553792942448</c:v>
                </c:pt>
                <c:pt idx="15">
                  <c:v>5.143070068031113E-2</c:v>
                </c:pt>
                <c:pt idx="16">
                  <c:v>2.6836455532094745E-2</c:v>
                </c:pt>
                <c:pt idx="17">
                  <c:v>-2.3718381717018604E-2</c:v>
                </c:pt>
                <c:pt idx="18">
                  <c:v>-0.17811558736971361</c:v>
                </c:pt>
                <c:pt idx="19">
                  <c:v>-0.20680887337596865</c:v>
                </c:pt>
                <c:pt idx="20">
                  <c:v>-0.21637330204472033</c:v>
                </c:pt>
                <c:pt idx="21">
                  <c:v>-0.24779928195633033</c:v>
                </c:pt>
                <c:pt idx="22">
                  <c:v>-0.26966083319918865</c:v>
                </c:pt>
                <c:pt idx="23">
                  <c:v>-0.29562142530008562</c:v>
                </c:pt>
                <c:pt idx="24">
                  <c:v>-0.3434435686438409</c:v>
                </c:pt>
                <c:pt idx="25">
                  <c:v>-0.48554365172242614</c:v>
                </c:pt>
                <c:pt idx="26">
                  <c:v>-0.52106867249207478</c:v>
                </c:pt>
                <c:pt idx="27">
                  <c:v>-0.53746483592422012</c:v>
                </c:pt>
                <c:pt idx="28">
                  <c:v>-0.57435620364654316</c:v>
                </c:pt>
                <c:pt idx="29">
                  <c:v>-0.58255428536261733</c:v>
                </c:pt>
                <c:pt idx="30">
                  <c:v>-0.63174277565905013</c:v>
                </c:pt>
                <c:pt idx="31">
                  <c:v>-1.0717064944215993</c:v>
                </c:pt>
                <c:pt idx="32">
                  <c:v>-0.96649777906533707</c:v>
                </c:pt>
                <c:pt idx="33">
                  <c:v>-0.85445732894568116</c:v>
                </c:pt>
                <c:pt idx="34">
                  <c:v>-1.7712761341931058</c:v>
                </c:pt>
                <c:pt idx="35">
                  <c:v>-1.9379704624199106</c:v>
                </c:pt>
                <c:pt idx="36">
                  <c:v>-1.6824635822689888</c:v>
                </c:pt>
                <c:pt idx="37">
                  <c:v>-0.99655741202426962</c:v>
                </c:pt>
                <c:pt idx="38">
                  <c:v>-1.0935680456644576</c:v>
                </c:pt>
              </c:numCache>
            </c:numRef>
          </c:xVal>
          <c:yVal>
            <c:numRef>
              <c:f>'MEN -WHR 5 yr'!$L$9:$L$47</c:f>
              <c:numCache>
                <c:formatCode>0.00</c:formatCode>
                <c:ptCount val="39"/>
                <c:pt idx="0">
                  <c:v>0.94815080410648078</c:v>
                </c:pt>
                <c:pt idx="1">
                  <c:v>0.96305459795563053</c:v>
                </c:pt>
                <c:pt idx="2">
                  <c:v>2.3914655768665209</c:v>
                </c:pt>
                <c:pt idx="3">
                  <c:v>0.42416478877837777</c:v>
                </c:pt>
                <c:pt idx="4">
                  <c:v>1.1246430996885508</c:v>
                </c:pt>
                <c:pt idx="5">
                  <c:v>0.68537338623984301</c:v>
                </c:pt>
                <c:pt idx="6">
                  <c:v>0.99443100605910961</c:v>
                </c:pt>
                <c:pt idx="7">
                  <c:v>1.5035132275380594</c:v>
                </c:pt>
                <c:pt idx="8">
                  <c:v>1.3662414420853382</c:v>
                </c:pt>
                <c:pt idx="9">
                  <c:v>1.4101684134302082</c:v>
                </c:pt>
                <c:pt idx="10">
                  <c:v>-1.3407581670423234</c:v>
                </c:pt>
                <c:pt idx="11">
                  <c:v>6.882696700647517E-2</c:v>
                </c:pt>
                <c:pt idx="12">
                  <c:v>1.2799563198007704</c:v>
                </c:pt>
                <c:pt idx="13">
                  <c:v>0.26179187684287469</c:v>
                </c:pt>
                <c:pt idx="14">
                  <c:v>0.45867883769220558</c:v>
                </c:pt>
                <c:pt idx="15">
                  <c:v>5.832793814094764E-4</c:v>
                </c:pt>
                <c:pt idx="16">
                  <c:v>4.921671194180071E-2</c:v>
                </c:pt>
                <c:pt idx="17">
                  <c:v>-1.6388340440253752</c:v>
                </c:pt>
                <c:pt idx="18">
                  <c:v>-1.0215032145894247</c:v>
                </c:pt>
                <c:pt idx="19">
                  <c:v>2.3331175256432562E-2</c:v>
                </c:pt>
                <c:pt idx="20">
                  <c:v>0.21629608509282852</c:v>
                </c:pt>
                <c:pt idx="21">
                  <c:v>-0.55634796445534518</c:v>
                </c:pt>
                <c:pt idx="22">
                  <c:v>-0.90541050460655048</c:v>
                </c:pt>
                <c:pt idx="23">
                  <c:v>-0.81520333130904798</c:v>
                </c:pt>
                <c:pt idx="24">
                  <c:v>-0.19787250187309746</c:v>
                </c:pt>
                <c:pt idx="25">
                  <c:v>-1.3556619608914768</c:v>
                </c:pt>
                <c:pt idx="26">
                  <c:v>-1.5148972320166312</c:v>
                </c:pt>
                <c:pt idx="27">
                  <c:v>0.25316336461441508</c:v>
                </c:pt>
                <c:pt idx="28">
                  <c:v>0.58967534152422951</c:v>
                </c:pt>
                <c:pt idx="29">
                  <c:v>-2.402065171142505</c:v>
                </c:pt>
                <c:pt idx="30">
                  <c:v>-0.85991471285650434</c:v>
                </c:pt>
                <c:pt idx="31">
                  <c:v>-2.1380206291027343E-2</c:v>
                </c:pt>
                <c:pt idx="32">
                  <c:v>-2.216461649361361E-2</c:v>
                </c:pt>
                <c:pt idx="33">
                  <c:v>-0.14531701829976779</c:v>
                </c:pt>
                <c:pt idx="34">
                  <c:v>-0.30847434043786071</c:v>
                </c:pt>
                <c:pt idx="35">
                  <c:v>-0.39789710353277696</c:v>
                </c:pt>
                <c:pt idx="36">
                  <c:v>-0.41044766677416789</c:v>
                </c:pt>
                <c:pt idx="37">
                  <c:v>-0.51477422371823389</c:v>
                </c:pt>
                <c:pt idx="38">
                  <c:v>-0.5838023215458894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EC-4B16-8EE6-839797993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z WHR Score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z Method I+P Score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Fights vs WHR Score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WHR Score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'MEN -WHR 5 yr'!$F$9:$F$47</c:f>
              <c:numCache>
                <c:formatCode>General</c:formatCode>
                <c:ptCount val="39"/>
                <c:pt idx="0">
                  <c:v>23</c:v>
                </c:pt>
                <c:pt idx="1">
                  <c:v>22</c:v>
                </c:pt>
                <c:pt idx="2">
                  <c:v>24</c:v>
                </c:pt>
                <c:pt idx="3">
                  <c:v>18</c:v>
                </c:pt>
                <c:pt idx="4">
                  <c:v>18</c:v>
                </c:pt>
                <c:pt idx="5">
                  <c:v>12</c:v>
                </c:pt>
                <c:pt idx="6">
                  <c:v>23</c:v>
                </c:pt>
                <c:pt idx="7">
                  <c:v>18</c:v>
                </c:pt>
                <c:pt idx="8">
                  <c:v>14</c:v>
                </c:pt>
                <c:pt idx="9">
                  <c:v>19</c:v>
                </c:pt>
                <c:pt idx="10">
                  <c:v>23</c:v>
                </c:pt>
                <c:pt idx="11">
                  <c:v>9</c:v>
                </c:pt>
                <c:pt idx="12">
                  <c:v>19</c:v>
                </c:pt>
                <c:pt idx="13">
                  <c:v>13</c:v>
                </c:pt>
                <c:pt idx="14">
                  <c:v>19</c:v>
                </c:pt>
                <c:pt idx="15">
                  <c:v>32</c:v>
                </c:pt>
                <c:pt idx="16">
                  <c:v>17</c:v>
                </c:pt>
                <c:pt idx="17">
                  <c:v>20</c:v>
                </c:pt>
                <c:pt idx="18">
                  <c:v>18</c:v>
                </c:pt>
                <c:pt idx="19">
                  <c:v>23</c:v>
                </c:pt>
                <c:pt idx="20">
                  <c:v>14</c:v>
                </c:pt>
                <c:pt idx="21">
                  <c:v>10</c:v>
                </c:pt>
                <c:pt idx="22">
                  <c:v>18</c:v>
                </c:pt>
                <c:pt idx="23">
                  <c:v>16</c:v>
                </c:pt>
                <c:pt idx="24">
                  <c:v>15</c:v>
                </c:pt>
                <c:pt idx="25">
                  <c:v>20</c:v>
                </c:pt>
                <c:pt idx="26">
                  <c:v>13</c:v>
                </c:pt>
                <c:pt idx="27">
                  <c:v>14</c:v>
                </c:pt>
                <c:pt idx="28">
                  <c:v>20</c:v>
                </c:pt>
                <c:pt idx="29">
                  <c:v>21</c:v>
                </c:pt>
                <c:pt idx="30">
                  <c:v>14</c:v>
                </c:pt>
                <c:pt idx="31">
                  <c:v>19</c:v>
                </c:pt>
                <c:pt idx="32">
                  <c:v>16</c:v>
                </c:pt>
                <c:pt idx="33">
                  <c:v>23</c:v>
                </c:pt>
                <c:pt idx="34">
                  <c:v>9</c:v>
                </c:pt>
                <c:pt idx="35">
                  <c:v>15</c:v>
                </c:pt>
                <c:pt idx="36">
                  <c:v>13</c:v>
                </c:pt>
                <c:pt idx="37">
                  <c:v>21</c:v>
                </c:pt>
                <c:pt idx="38">
                  <c:v>36</c:v>
                </c:pt>
              </c:numCache>
            </c:numRef>
          </c:xVal>
          <c:yVal>
            <c:numRef>
              <c:f>'MEN -WHR 5 yr'!$G$9:$G$47</c:f>
              <c:numCache>
                <c:formatCode>General</c:formatCode>
                <c:ptCount val="39"/>
                <c:pt idx="0">
                  <c:v>1953.4</c:v>
                </c:pt>
                <c:pt idx="1">
                  <c:v>1945.1</c:v>
                </c:pt>
                <c:pt idx="2">
                  <c:v>1944.1</c:v>
                </c:pt>
                <c:pt idx="3">
                  <c:v>1936.2</c:v>
                </c:pt>
                <c:pt idx="4">
                  <c:v>1918.8</c:v>
                </c:pt>
                <c:pt idx="5">
                  <c:v>1876.2</c:v>
                </c:pt>
                <c:pt idx="6">
                  <c:v>1870.2</c:v>
                </c:pt>
                <c:pt idx="7">
                  <c:v>1868.7</c:v>
                </c:pt>
                <c:pt idx="8">
                  <c:v>1863.1</c:v>
                </c:pt>
                <c:pt idx="9">
                  <c:v>1862.9</c:v>
                </c:pt>
                <c:pt idx="10">
                  <c:v>1854.4</c:v>
                </c:pt>
                <c:pt idx="11">
                  <c:v>1851.9</c:v>
                </c:pt>
                <c:pt idx="12">
                  <c:v>1843.6</c:v>
                </c:pt>
                <c:pt idx="13">
                  <c:v>1842.9</c:v>
                </c:pt>
                <c:pt idx="14">
                  <c:v>1815.4</c:v>
                </c:pt>
                <c:pt idx="15">
                  <c:v>1811.7</c:v>
                </c:pt>
                <c:pt idx="16">
                  <c:v>1809.9</c:v>
                </c:pt>
                <c:pt idx="17">
                  <c:v>1806.2</c:v>
                </c:pt>
                <c:pt idx="18">
                  <c:v>1794.9</c:v>
                </c:pt>
                <c:pt idx="19">
                  <c:v>1792.8</c:v>
                </c:pt>
                <c:pt idx="20">
                  <c:v>1792.1</c:v>
                </c:pt>
                <c:pt idx="21">
                  <c:v>1789.8</c:v>
                </c:pt>
                <c:pt idx="22">
                  <c:v>1788.2</c:v>
                </c:pt>
                <c:pt idx="23">
                  <c:v>1786.3</c:v>
                </c:pt>
                <c:pt idx="24">
                  <c:v>1782.8</c:v>
                </c:pt>
                <c:pt idx="25">
                  <c:v>1772.4</c:v>
                </c:pt>
                <c:pt idx="26">
                  <c:v>1769.8</c:v>
                </c:pt>
                <c:pt idx="27">
                  <c:v>1768.6</c:v>
                </c:pt>
                <c:pt idx="28">
                  <c:v>1765.9</c:v>
                </c:pt>
                <c:pt idx="29">
                  <c:v>1765.3</c:v>
                </c:pt>
                <c:pt idx="30">
                  <c:v>1761.7</c:v>
                </c:pt>
                <c:pt idx="31">
                  <c:v>1729.5</c:v>
                </c:pt>
                <c:pt idx="32">
                  <c:v>1737.2</c:v>
                </c:pt>
                <c:pt idx="33">
                  <c:v>1745.4</c:v>
                </c:pt>
                <c:pt idx="34">
                  <c:v>1678.3</c:v>
                </c:pt>
                <c:pt idx="35">
                  <c:v>1666.1</c:v>
                </c:pt>
                <c:pt idx="36">
                  <c:v>1684.8</c:v>
                </c:pt>
                <c:pt idx="37">
                  <c:v>1735</c:v>
                </c:pt>
                <c:pt idx="38">
                  <c:v>1727.9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A0-4D8B-AC17-CD9C9BD72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Fights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WHR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Division Strength (Avg &amp; Max Score)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'MEN -WHR 5 yr'!$R$8</c:f>
              <c:strCache>
                <c:ptCount val="1"/>
                <c:pt idx="0">
                  <c:v>Avg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'MEN -WHR 5 yr'!$Q$9:$Q$16</c:f>
              <c:strCache>
                <c:ptCount val="8"/>
                <c:pt idx="0">
                  <c:v>Light Heavyweight</c:v>
                </c:pt>
                <c:pt idx="1">
                  <c:v>Welterweight</c:v>
                </c:pt>
                <c:pt idx="2">
                  <c:v>Middleweight</c:v>
                </c:pt>
                <c:pt idx="3">
                  <c:v>Flyweight</c:v>
                </c:pt>
                <c:pt idx="4">
                  <c:v>Lightweight</c:v>
                </c:pt>
                <c:pt idx="5">
                  <c:v>Featherweight</c:v>
                </c:pt>
                <c:pt idx="6">
                  <c:v>Heavyweight</c:v>
                </c:pt>
                <c:pt idx="7">
                  <c:v>Bantamweight</c:v>
                </c:pt>
              </c:strCache>
            </c:strRef>
          </c:cat>
          <c:val>
            <c:numRef>
              <c:f>'MEN -WHR 5 yr'!$R$9:$R$16</c:f>
              <c:numCache>
                <c:formatCode>0.0</c:formatCode>
                <c:ptCount val="8"/>
                <c:pt idx="0">
                  <c:v>1818.1166666666666</c:v>
                </c:pt>
                <c:pt idx="1">
                  <c:v>1821.9600000000003</c:v>
                </c:pt>
                <c:pt idx="2">
                  <c:v>1809.5</c:v>
                </c:pt>
                <c:pt idx="3">
                  <c:v>1811.425</c:v>
                </c:pt>
                <c:pt idx="4">
                  <c:v>1789.56</c:v>
                </c:pt>
                <c:pt idx="5">
                  <c:v>1834.22</c:v>
                </c:pt>
                <c:pt idx="6">
                  <c:v>1780.2166666666669</c:v>
                </c:pt>
                <c:pt idx="7">
                  <c:v>1799.2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E-47BA-8519-824053BA9C7F}"/>
            </c:ext>
          </c:extLst>
        </c:ser>
        <c:ser>
          <c:idx val="1"/>
          <c:order val="1"/>
          <c:tx>
            <c:strRef>
              <c:f>'MEN -WHR 5 yr'!$S$8</c:f>
              <c:strCache>
                <c:ptCount val="1"/>
                <c:pt idx="0">
                  <c:v>Max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'MEN -WHR 5 yr'!$Q$9:$Q$16</c:f>
              <c:strCache>
                <c:ptCount val="8"/>
                <c:pt idx="0">
                  <c:v>Light Heavyweight</c:v>
                </c:pt>
                <c:pt idx="1">
                  <c:v>Welterweight</c:v>
                </c:pt>
                <c:pt idx="2">
                  <c:v>Middleweight</c:v>
                </c:pt>
                <c:pt idx="3">
                  <c:v>Flyweight</c:v>
                </c:pt>
                <c:pt idx="4">
                  <c:v>Lightweight</c:v>
                </c:pt>
                <c:pt idx="5">
                  <c:v>Featherweight</c:v>
                </c:pt>
                <c:pt idx="6">
                  <c:v>Heavyweight</c:v>
                </c:pt>
                <c:pt idx="7">
                  <c:v>Bantamweight</c:v>
                </c:pt>
              </c:strCache>
            </c:strRef>
          </c:cat>
          <c:val>
            <c:numRef>
              <c:f>'MEN -WHR 5 yr'!$S$9:$S$16</c:f>
              <c:numCache>
                <c:formatCode>0.0</c:formatCode>
                <c:ptCount val="8"/>
                <c:pt idx="0">
                  <c:v>1953.4</c:v>
                </c:pt>
                <c:pt idx="1">
                  <c:v>1945.1</c:v>
                </c:pt>
                <c:pt idx="2">
                  <c:v>1944.1</c:v>
                </c:pt>
                <c:pt idx="3">
                  <c:v>1936.2</c:v>
                </c:pt>
                <c:pt idx="4">
                  <c:v>1918.8</c:v>
                </c:pt>
                <c:pt idx="5">
                  <c:v>1870.2</c:v>
                </c:pt>
                <c:pt idx="6">
                  <c:v>1815.4</c:v>
                </c:pt>
                <c:pt idx="7">
                  <c:v>1809.9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6E-47BA-8519-824053BA9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Score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Top 20: z-Score Profile by Metric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'MEN -WHR 5 yr'!$Y$8</c:f>
              <c:strCache>
                <c:ptCount val="1"/>
                <c:pt idx="0">
                  <c:v>z WHR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'MEN -WHR 5 yr'!$X$9:$X$28</c:f>
              <c:strCache>
                <c:ptCount val="20"/>
                <c:pt idx="0">
                  <c:v>Jon Jones</c:v>
                </c:pt>
                <c:pt idx="1">
                  <c:v>Georges St-Pierre</c:v>
                </c:pt>
                <c:pt idx="2">
                  <c:v>Anderson Silva</c:v>
                </c:pt>
                <c:pt idx="3">
                  <c:v>Demetrious Johnson</c:v>
                </c:pt>
                <c:pt idx="4">
                  <c:v>Islam Makhachev</c:v>
                </c:pt>
                <c:pt idx="5">
                  <c:v>Alex Pereira</c:v>
                </c:pt>
                <c:pt idx="6">
                  <c:v>Jose Aldo</c:v>
                </c:pt>
                <c:pt idx="7">
                  <c:v>Alexander Volkanovski</c:v>
                </c:pt>
                <c:pt idx="8">
                  <c:v>Daniel Cormier</c:v>
                </c:pt>
                <c:pt idx="9">
                  <c:v>Israel Adesanya</c:v>
                </c:pt>
                <c:pt idx="10">
                  <c:v>Matt Hughes</c:v>
                </c:pt>
                <c:pt idx="11">
                  <c:v>Ilia Topuria</c:v>
                </c:pt>
                <c:pt idx="12">
                  <c:v>Kamaru Usman</c:v>
                </c:pt>
                <c:pt idx="13">
                  <c:v>Khabib Nurmagomedov</c:v>
                </c:pt>
                <c:pt idx="14">
                  <c:v>Stipe Miocic</c:v>
                </c:pt>
                <c:pt idx="15">
                  <c:v>Max Holloway</c:v>
                </c:pt>
                <c:pt idx="16">
                  <c:v>Merab Dvalishvili</c:v>
                </c:pt>
                <c:pt idx="17">
                  <c:v>Randy Couture</c:v>
                </c:pt>
                <c:pt idx="18">
                  <c:v>TJ Dillashaw</c:v>
                </c:pt>
                <c:pt idx="19">
                  <c:v>Aljamain Sterling</c:v>
                </c:pt>
              </c:strCache>
            </c:strRef>
          </c:cat>
          <c:val>
            <c:numRef>
              <c:f>'MEN -WHR 5 yr'!$Y$9:$Y$28</c:f>
              <c:numCache>
                <c:formatCode>0.00</c:formatCode>
                <c:ptCount val="20"/>
                <c:pt idx="0">
                  <c:v>1.9875443326260613</c:v>
                </c:pt>
                <c:pt idx="1">
                  <c:v>1.8741375355537249</c:v>
                </c:pt>
                <c:pt idx="2">
                  <c:v>1.8604740660269377</c:v>
                </c:pt>
                <c:pt idx="3">
                  <c:v>1.7525326567653206</c:v>
                </c:pt>
                <c:pt idx="4">
                  <c:v>1.5147882869992215</c:v>
                </c:pt>
                <c:pt idx="5">
                  <c:v>0.93272448515808704</c:v>
                </c:pt>
                <c:pt idx="6">
                  <c:v>0.85074366799736378</c:v>
                </c:pt>
                <c:pt idx="7">
                  <c:v>0.83024846370718286</c:v>
                </c:pt>
                <c:pt idx="8">
                  <c:v>0.75373303435717254</c:v>
                </c:pt>
                <c:pt idx="9">
                  <c:v>0.75100034045181763</c:v>
                </c:pt>
                <c:pt idx="10">
                  <c:v>0.63486084947412624</c:v>
                </c:pt>
                <c:pt idx="11">
                  <c:v>0.60070217565715811</c:v>
                </c:pt>
                <c:pt idx="12">
                  <c:v>0.48729537858482169</c:v>
                </c:pt>
                <c:pt idx="13">
                  <c:v>0.47773094991607312</c:v>
                </c:pt>
                <c:pt idx="14">
                  <c:v>0.10198553792942448</c:v>
                </c:pt>
                <c:pt idx="15">
                  <c:v>5.143070068031113E-2</c:v>
                </c:pt>
                <c:pt idx="16">
                  <c:v>2.6836455532094745E-2</c:v>
                </c:pt>
                <c:pt idx="17">
                  <c:v>-2.3718381717018604E-2</c:v>
                </c:pt>
                <c:pt idx="18">
                  <c:v>-0.17811558736971361</c:v>
                </c:pt>
                <c:pt idx="19">
                  <c:v>-0.20680887337596865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CC-4936-B207-AB89C79F4577}"/>
            </c:ext>
          </c:extLst>
        </c:ser>
        <c:ser>
          <c:idx val="1"/>
          <c:order val="1"/>
          <c:tx>
            <c:strRef>
              <c:f>'MEN -WHR 5 yr'!$Z$8</c:f>
              <c:strCache>
                <c:ptCount val="1"/>
                <c:pt idx="0">
                  <c:v>z WHR I+P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'MEN -WHR 5 yr'!$X$9:$X$28</c:f>
              <c:strCache>
                <c:ptCount val="20"/>
                <c:pt idx="0">
                  <c:v>Jon Jones</c:v>
                </c:pt>
                <c:pt idx="1">
                  <c:v>Georges St-Pierre</c:v>
                </c:pt>
                <c:pt idx="2">
                  <c:v>Anderson Silva</c:v>
                </c:pt>
                <c:pt idx="3">
                  <c:v>Demetrious Johnson</c:v>
                </c:pt>
                <c:pt idx="4">
                  <c:v>Islam Makhachev</c:v>
                </c:pt>
                <c:pt idx="5">
                  <c:v>Alex Pereira</c:v>
                </c:pt>
                <c:pt idx="6">
                  <c:v>Jose Aldo</c:v>
                </c:pt>
                <c:pt idx="7">
                  <c:v>Alexander Volkanovski</c:v>
                </c:pt>
                <c:pt idx="8">
                  <c:v>Daniel Cormier</c:v>
                </c:pt>
                <c:pt idx="9">
                  <c:v>Israel Adesanya</c:v>
                </c:pt>
                <c:pt idx="10">
                  <c:v>Matt Hughes</c:v>
                </c:pt>
                <c:pt idx="11">
                  <c:v>Ilia Topuria</c:v>
                </c:pt>
                <c:pt idx="12">
                  <c:v>Kamaru Usman</c:v>
                </c:pt>
                <c:pt idx="13">
                  <c:v>Khabib Nurmagomedov</c:v>
                </c:pt>
                <c:pt idx="14">
                  <c:v>Stipe Miocic</c:v>
                </c:pt>
                <c:pt idx="15">
                  <c:v>Max Holloway</c:v>
                </c:pt>
                <c:pt idx="16">
                  <c:v>Merab Dvalishvili</c:v>
                </c:pt>
                <c:pt idx="17">
                  <c:v>Randy Couture</c:v>
                </c:pt>
                <c:pt idx="18">
                  <c:v>TJ Dillashaw</c:v>
                </c:pt>
                <c:pt idx="19">
                  <c:v>Aljamain Sterling</c:v>
                </c:pt>
              </c:strCache>
            </c:strRef>
          </c:cat>
          <c:val>
            <c:numRef>
              <c:f>'MEN -WHR 5 yr'!$Z$9:$Z$28</c:f>
              <c:numCache>
                <c:formatCode>0.00</c:formatCode>
                <c:ptCount val="20"/>
                <c:pt idx="0">
                  <c:v>1.9658699785945937</c:v>
                </c:pt>
                <c:pt idx="1">
                  <c:v>1.8784808627319396</c:v>
                </c:pt>
                <c:pt idx="2">
                  <c:v>1.8347863048006128</c:v>
                </c:pt>
                <c:pt idx="3">
                  <c:v>1.6996062662005738</c:v>
                </c:pt>
                <c:pt idx="4">
                  <c:v>1.5098080301863739</c:v>
                </c:pt>
                <c:pt idx="5">
                  <c:v>1.0414569873599704</c:v>
                </c:pt>
                <c:pt idx="6">
                  <c:v>0.87077512044072691</c:v>
                </c:pt>
                <c:pt idx="7">
                  <c:v>0.87350603031143537</c:v>
                </c:pt>
                <c:pt idx="8">
                  <c:v>0.76426963548311955</c:v>
                </c:pt>
                <c:pt idx="9">
                  <c:v>0.79840600886696833</c:v>
                </c:pt>
                <c:pt idx="10">
                  <c:v>0.5785677642749808</c:v>
                </c:pt>
                <c:pt idx="11">
                  <c:v>0.60178049817599855</c:v>
                </c:pt>
                <c:pt idx="12">
                  <c:v>0.49527501321839129</c:v>
                </c:pt>
                <c:pt idx="13">
                  <c:v>0.43656045099817214</c:v>
                </c:pt>
                <c:pt idx="14">
                  <c:v>0.13479491028494783</c:v>
                </c:pt>
                <c:pt idx="15">
                  <c:v>7.4714893129376E-2</c:v>
                </c:pt>
                <c:pt idx="16">
                  <c:v>5.2867614163710976E-2</c:v>
                </c:pt>
                <c:pt idx="17">
                  <c:v>1.3269421038448354E-2</c:v>
                </c:pt>
                <c:pt idx="18">
                  <c:v>-0.20793427848889179</c:v>
                </c:pt>
                <c:pt idx="19">
                  <c:v>-0.20383791368283058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CC-4936-B207-AB89C79F4577}"/>
            </c:ext>
          </c:extLst>
        </c:ser>
        <c:ser>
          <c:idx val="2"/>
          <c:order val="2"/>
          <c:tx>
            <c:strRef>
              <c:f>'MEN -WHR 5 yr'!$AA$8</c:f>
              <c:strCache>
                <c:ptCount val="1"/>
                <c:pt idx="0">
                  <c:v>z Method I+P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'MEN -WHR 5 yr'!$X$9:$X$28</c:f>
              <c:strCache>
                <c:ptCount val="20"/>
                <c:pt idx="0">
                  <c:v>Jon Jones</c:v>
                </c:pt>
                <c:pt idx="1">
                  <c:v>Georges St-Pierre</c:v>
                </c:pt>
                <c:pt idx="2">
                  <c:v>Anderson Silva</c:v>
                </c:pt>
                <c:pt idx="3">
                  <c:v>Demetrious Johnson</c:v>
                </c:pt>
                <c:pt idx="4">
                  <c:v>Islam Makhachev</c:v>
                </c:pt>
                <c:pt idx="5">
                  <c:v>Alex Pereira</c:v>
                </c:pt>
                <c:pt idx="6">
                  <c:v>Jose Aldo</c:v>
                </c:pt>
                <c:pt idx="7">
                  <c:v>Alexander Volkanovski</c:v>
                </c:pt>
                <c:pt idx="8">
                  <c:v>Daniel Cormier</c:v>
                </c:pt>
                <c:pt idx="9">
                  <c:v>Israel Adesanya</c:v>
                </c:pt>
                <c:pt idx="10">
                  <c:v>Matt Hughes</c:v>
                </c:pt>
                <c:pt idx="11">
                  <c:v>Ilia Topuria</c:v>
                </c:pt>
                <c:pt idx="12">
                  <c:v>Kamaru Usman</c:v>
                </c:pt>
                <c:pt idx="13">
                  <c:v>Khabib Nurmagomedov</c:v>
                </c:pt>
                <c:pt idx="14">
                  <c:v>Stipe Miocic</c:v>
                </c:pt>
                <c:pt idx="15">
                  <c:v>Max Holloway</c:v>
                </c:pt>
                <c:pt idx="16">
                  <c:v>Merab Dvalishvili</c:v>
                </c:pt>
                <c:pt idx="17">
                  <c:v>Randy Couture</c:v>
                </c:pt>
                <c:pt idx="18">
                  <c:v>TJ Dillashaw</c:v>
                </c:pt>
                <c:pt idx="19">
                  <c:v>Aljamain Sterling</c:v>
                </c:pt>
              </c:strCache>
            </c:strRef>
          </c:cat>
          <c:val>
            <c:numRef>
              <c:f>'MEN -WHR 5 yr'!$AA$9:$AA$28</c:f>
              <c:numCache>
                <c:formatCode>0.00</c:formatCode>
                <c:ptCount val="20"/>
                <c:pt idx="0">
                  <c:v>0.94815080410648078</c:v>
                </c:pt>
                <c:pt idx="1">
                  <c:v>0.96305459795563053</c:v>
                </c:pt>
                <c:pt idx="2">
                  <c:v>2.3914655768665209</c:v>
                </c:pt>
                <c:pt idx="3">
                  <c:v>0.42416478877837777</c:v>
                </c:pt>
                <c:pt idx="4">
                  <c:v>1.1246430996885508</c:v>
                </c:pt>
                <c:pt idx="5">
                  <c:v>0.68537338623984301</c:v>
                </c:pt>
                <c:pt idx="6">
                  <c:v>0.99443100605910961</c:v>
                </c:pt>
                <c:pt idx="7">
                  <c:v>1.5035132275380594</c:v>
                </c:pt>
                <c:pt idx="8">
                  <c:v>1.3662414420853382</c:v>
                </c:pt>
                <c:pt idx="9">
                  <c:v>1.4101684134302082</c:v>
                </c:pt>
                <c:pt idx="10">
                  <c:v>-1.3407581670423234</c:v>
                </c:pt>
                <c:pt idx="11">
                  <c:v>6.882696700647517E-2</c:v>
                </c:pt>
                <c:pt idx="12">
                  <c:v>1.2799563198007704</c:v>
                </c:pt>
                <c:pt idx="13">
                  <c:v>0.26179187684287469</c:v>
                </c:pt>
                <c:pt idx="14">
                  <c:v>0.45867883769220558</c:v>
                </c:pt>
                <c:pt idx="15">
                  <c:v>5.832793814094764E-4</c:v>
                </c:pt>
                <c:pt idx="16">
                  <c:v>4.921671194180071E-2</c:v>
                </c:pt>
                <c:pt idx="17">
                  <c:v>-1.6388340440253752</c:v>
                </c:pt>
                <c:pt idx="18">
                  <c:v>-1.0215032145894247</c:v>
                </c:pt>
                <c:pt idx="19">
                  <c:v>2.3331175256432562E-2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CC-4936-B207-AB89C79F4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z-score (vs field)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t>Top 20: Rank Under Each Metric (1 = best)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'MEN -WHR 5 yr'!$AB$8</c:f>
              <c:strCache>
                <c:ptCount val="1"/>
                <c:pt idx="0">
                  <c:v>R WHR 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'MEN -WHR 5 yr'!$X$9:$X$28</c:f>
              <c:strCache>
                <c:ptCount val="20"/>
                <c:pt idx="0">
                  <c:v>Jon Jones</c:v>
                </c:pt>
                <c:pt idx="1">
                  <c:v>Georges St-Pierre</c:v>
                </c:pt>
                <c:pt idx="2">
                  <c:v>Anderson Silva</c:v>
                </c:pt>
                <c:pt idx="3">
                  <c:v>Demetrious Johnson</c:v>
                </c:pt>
                <c:pt idx="4">
                  <c:v>Islam Makhachev</c:v>
                </c:pt>
                <c:pt idx="5">
                  <c:v>Alex Pereira</c:v>
                </c:pt>
                <c:pt idx="6">
                  <c:v>Jose Aldo</c:v>
                </c:pt>
                <c:pt idx="7">
                  <c:v>Alexander Volkanovski</c:v>
                </c:pt>
                <c:pt idx="8">
                  <c:v>Daniel Cormier</c:v>
                </c:pt>
                <c:pt idx="9">
                  <c:v>Israel Adesanya</c:v>
                </c:pt>
                <c:pt idx="10">
                  <c:v>Matt Hughes</c:v>
                </c:pt>
                <c:pt idx="11">
                  <c:v>Ilia Topuria</c:v>
                </c:pt>
                <c:pt idx="12">
                  <c:v>Kamaru Usman</c:v>
                </c:pt>
                <c:pt idx="13">
                  <c:v>Khabib Nurmagomedov</c:v>
                </c:pt>
                <c:pt idx="14">
                  <c:v>Stipe Miocic</c:v>
                </c:pt>
                <c:pt idx="15">
                  <c:v>Max Holloway</c:v>
                </c:pt>
                <c:pt idx="16">
                  <c:v>Merab Dvalishvili</c:v>
                </c:pt>
                <c:pt idx="17">
                  <c:v>Randy Couture</c:v>
                </c:pt>
                <c:pt idx="18">
                  <c:v>TJ Dillashaw</c:v>
                </c:pt>
                <c:pt idx="19">
                  <c:v>Aljamain Sterling</c:v>
                </c:pt>
              </c:strCache>
            </c:strRef>
          </c:cat>
          <c:val>
            <c:numRef>
              <c:f>'MEN -WHR 5 yr'!$AB$9:$AB$28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A6-4E67-A8F6-DC41AE825AB6}"/>
            </c:ext>
          </c:extLst>
        </c:ser>
        <c:ser>
          <c:idx val="1"/>
          <c:order val="1"/>
          <c:tx>
            <c:strRef>
              <c:f>'MEN -WHR 5 yr'!$AC$8</c:f>
              <c:strCache>
                <c:ptCount val="1"/>
                <c:pt idx="0">
                  <c:v>R WHR I+P 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'MEN -WHR 5 yr'!$X$9:$X$28</c:f>
              <c:strCache>
                <c:ptCount val="20"/>
                <c:pt idx="0">
                  <c:v>Jon Jones</c:v>
                </c:pt>
                <c:pt idx="1">
                  <c:v>Georges St-Pierre</c:v>
                </c:pt>
                <c:pt idx="2">
                  <c:v>Anderson Silva</c:v>
                </c:pt>
                <c:pt idx="3">
                  <c:v>Demetrious Johnson</c:v>
                </c:pt>
                <c:pt idx="4">
                  <c:v>Islam Makhachev</c:v>
                </c:pt>
                <c:pt idx="5">
                  <c:v>Alex Pereira</c:v>
                </c:pt>
                <c:pt idx="6">
                  <c:v>Jose Aldo</c:v>
                </c:pt>
                <c:pt idx="7">
                  <c:v>Alexander Volkanovski</c:v>
                </c:pt>
                <c:pt idx="8">
                  <c:v>Daniel Cormier</c:v>
                </c:pt>
                <c:pt idx="9">
                  <c:v>Israel Adesanya</c:v>
                </c:pt>
                <c:pt idx="10">
                  <c:v>Matt Hughes</c:v>
                </c:pt>
                <c:pt idx="11">
                  <c:v>Ilia Topuria</c:v>
                </c:pt>
                <c:pt idx="12">
                  <c:v>Kamaru Usman</c:v>
                </c:pt>
                <c:pt idx="13">
                  <c:v>Khabib Nurmagomedov</c:v>
                </c:pt>
                <c:pt idx="14">
                  <c:v>Stipe Miocic</c:v>
                </c:pt>
                <c:pt idx="15">
                  <c:v>Max Holloway</c:v>
                </c:pt>
                <c:pt idx="16">
                  <c:v>Merab Dvalishvili</c:v>
                </c:pt>
                <c:pt idx="17">
                  <c:v>Randy Couture</c:v>
                </c:pt>
                <c:pt idx="18">
                  <c:v>TJ Dillashaw</c:v>
                </c:pt>
                <c:pt idx="19">
                  <c:v>Aljamain Sterling</c:v>
                </c:pt>
              </c:strCache>
            </c:strRef>
          </c:cat>
          <c:val>
            <c:numRef>
              <c:f>'MEN -WHR 5 yr'!$AC$9:$AC$28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7</c:v>
                </c:pt>
                <c:pt idx="8">
                  <c:v>10</c:v>
                </c:pt>
                <c:pt idx="9">
                  <c:v>9</c:v>
                </c:pt>
                <c:pt idx="10">
                  <c:v>12</c:v>
                </c:pt>
                <c:pt idx="11">
                  <c:v>11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1A6-4E67-A8F6-DC41AE825AB6}"/>
            </c:ext>
          </c:extLst>
        </c:ser>
        <c:ser>
          <c:idx val="2"/>
          <c:order val="2"/>
          <c:tx>
            <c:strRef>
              <c:f>'MEN -WHR 5 yr'!$AD$8</c:f>
              <c:strCache>
                <c:ptCount val="1"/>
                <c:pt idx="0">
                  <c:v>R Method I+P 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'MEN -WHR 5 yr'!$X$9:$X$28</c:f>
              <c:strCache>
                <c:ptCount val="20"/>
                <c:pt idx="0">
                  <c:v>Jon Jones</c:v>
                </c:pt>
                <c:pt idx="1">
                  <c:v>Georges St-Pierre</c:v>
                </c:pt>
                <c:pt idx="2">
                  <c:v>Anderson Silva</c:v>
                </c:pt>
                <c:pt idx="3">
                  <c:v>Demetrious Johnson</c:v>
                </c:pt>
                <c:pt idx="4">
                  <c:v>Islam Makhachev</c:v>
                </c:pt>
                <c:pt idx="5">
                  <c:v>Alex Pereira</c:v>
                </c:pt>
                <c:pt idx="6">
                  <c:v>Jose Aldo</c:v>
                </c:pt>
                <c:pt idx="7">
                  <c:v>Alexander Volkanovski</c:v>
                </c:pt>
                <c:pt idx="8">
                  <c:v>Daniel Cormier</c:v>
                </c:pt>
                <c:pt idx="9">
                  <c:v>Israel Adesanya</c:v>
                </c:pt>
                <c:pt idx="10">
                  <c:v>Matt Hughes</c:v>
                </c:pt>
                <c:pt idx="11">
                  <c:v>Ilia Topuria</c:v>
                </c:pt>
                <c:pt idx="12">
                  <c:v>Kamaru Usman</c:v>
                </c:pt>
                <c:pt idx="13">
                  <c:v>Khabib Nurmagomedov</c:v>
                </c:pt>
                <c:pt idx="14">
                  <c:v>Stipe Miocic</c:v>
                </c:pt>
                <c:pt idx="15">
                  <c:v>Max Holloway</c:v>
                </c:pt>
                <c:pt idx="16">
                  <c:v>Merab Dvalishvili</c:v>
                </c:pt>
                <c:pt idx="17">
                  <c:v>Randy Couture</c:v>
                </c:pt>
                <c:pt idx="18">
                  <c:v>TJ Dillashaw</c:v>
                </c:pt>
                <c:pt idx="19">
                  <c:v>Aljamain Sterling</c:v>
                </c:pt>
              </c:strCache>
            </c:strRef>
          </c:cat>
          <c:val>
            <c:numRef>
              <c:f>'MEN -WHR 5 yr'!$AD$9:$AD$28</c:f>
              <c:numCache>
                <c:formatCode>General</c:formatCode>
                <c:ptCount val="20"/>
                <c:pt idx="0">
                  <c:v>9</c:v>
                </c:pt>
                <c:pt idx="1">
                  <c:v>8</c:v>
                </c:pt>
                <c:pt idx="2">
                  <c:v>1</c:v>
                </c:pt>
                <c:pt idx="3">
                  <c:v>13</c:v>
                </c:pt>
                <c:pt idx="4">
                  <c:v>6</c:v>
                </c:pt>
                <c:pt idx="5">
                  <c:v>10</c:v>
                </c:pt>
                <c:pt idx="6">
                  <c:v>7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35</c:v>
                </c:pt>
                <c:pt idx="11">
                  <c:v>17</c:v>
                </c:pt>
                <c:pt idx="12">
                  <c:v>5</c:v>
                </c:pt>
                <c:pt idx="13">
                  <c:v>14</c:v>
                </c:pt>
                <c:pt idx="14">
                  <c:v>12</c:v>
                </c:pt>
                <c:pt idx="15">
                  <c:v>20</c:v>
                </c:pt>
                <c:pt idx="16">
                  <c:v>18</c:v>
                </c:pt>
                <c:pt idx="17">
                  <c:v>38</c:v>
                </c:pt>
                <c:pt idx="18">
                  <c:v>34</c:v>
                </c:pt>
                <c:pt idx="19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1A6-4E67-A8F6-DC41AE825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axMin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Rank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Top 20: Consistency vs Peak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Top 20 fighter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xVal>
            <c:numRef>
              <c:f>'MEN -WHR 5 yr'!$AE$9:$AE$28</c:f>
              <c:numCache>
                <c:formatCode>0.0</c:formatCode>
                <c:ptCount val="20"/>
                <c:pt idx="0">
                  <c:v>3.6666666666666665</c:v>
                </c:pt>
                <c:pt idx="1">
                  <c:v>4</c:v>
                </c:pt>
                <c:pt idx="2">
                  <c:v>2.3333333333333335</c:v>
                </c:pt>
                <c:pt idx="3">
                  <c:v>7</c:v>
                </c:pt>
                <c:pt idx="4">
                  <c:v>5.333333333333333</c:v>
                </c:pt>
                <c:pt idx="5">
                  <c:v>7.333333333333333</c:v>
                </c:pt>
                <c:pt idx="6">
                  <c:v>7.333333333333333</c:v>
                </c:pt>
                <c:pt idx="7">
                  <c:v>5.666666666666667</c:v>
                </c:pt>
                <c:pt idx="8">
                  <c:v>7.666666666666667</c:v>
                </c:pt>
                <c:pt idx="9">
                  <c:v>7.333333333333333</c:v>
                </c:pt>
                <c:pt idx="10">
                  <c:v>19.333333333333332</c:v>
                </c:pt>
                <c:pt idx="11">
                  <c:v>13.333333333333334</c:v>
                </c:pt>
                <c:pt idx="12">
                  <c:v>10.333333333333334</c:v>
                </c:pt>
                <c:pt idx="13">
                  <c:v>14</c:v>
                </c:pt>
                <c:pt idx="14">
                  <c:v>14</c:v>
                </c:pt>
                <c:pt idx="15">
                  <c:v>17.333333333333332</c:v>
                </c:pt>
                <c:pt idx="16">
                  <c:v>17.333333333333332</c:v>
                </c:pt>
                <c:pt idx="17">
                  <c:v>24.666666666666668</c:v>
                </c:pt>
                <c:pt idx="18">
                  <c:v>24.666666666666668</c:v>
                </c:pt>
                <c:pt idx="19">
                  <c:v>19.666666666666668</c:v>
                </c:pt>
              </c:numCache>
            </c:numRef>
          </c:xVal>
          <c:yVal>
            <c:numRef>
              <c:f>'MEN -WHR 5 yr'!$AF$9:$AF$28</c:f>
              <c:numCache>
                <c:formatCode>General</c:formatCode>
                <c:ptCount val="20"/>
                <c:pt idx="0">
                  <c:v>8</c:v>
                </c:pt>
                <c:pt idx="1">
                  <c:v>6</c:v>
                </c:pt>
                <c:pt idx="2">
                  <c:v>2</c:v>
                </c:pt>
                <c:pt idx="3">
                  <c:v>9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24</c:v>
                </c:pt>
                <c:pt idx="11">
                  <c:v>6</c:v>
                </c:pt>
                <c:pt idx="12">
                  <c:v>8</c:v>
                </c:pt>
                <c:pt idx="13">
                  <c:v>0</c:v>
                </c:pt>
                <c:pt idx="14">
                  <c:v>3</c:v>
                </c:pt>
                <c:pt idx="15">
                  <c:v>4</c:v>
                </c:pt>
                <c:pt idx="16">
                  <c:v>1</c:v>
                </c:pt>
                <c:pt idx="17">
                  <c:v>20</c:v>
                </c:pt>
                <c:pt idx="18">
                  <c:v>15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F0-4F30-9063-AF230A26F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Avg Rank across metrics (lower = stronger)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Rank Spread (higher = metrics disagree)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Division Strength (Avg &amp; Max WHR)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'MEN -FlyW WHR'!$M$8</c:f>
              <c:strCache>
                <c:ptCount val="1"/>
                <c:pt idx="0">
                  <c:v>Avg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'MEN -FlyW WHR'!$L$9:$L$16</c:f>
              <c:strCache>
                <c:ptCount val="8"/>
                <c:pt idx="0">
                  <c:v>Flyweight</c:v>
                </c:pt>
                <c:pt idx="1">
                  <c:v>Bantamweight</c:v>
                </c:pt>
                <c:pt idx="2">
                  <c:v>Featherweight</c:v>
                </c:pt>
                <c:pt idx="3">
                  <c:v>Lightweight</c:v>
                </c:pt>
                <c:pt idx="4">
                  <c:v>Welterweight</c:v>
                </c:pt>
                <c:pt idx="5">
                  <c:v>Middleweight</c:v>
                </c:pt>
                <c:pt idx="6">
                  <c:v>Light Heavyweight</c:v>
                </c:pt>
                <c:pt idx="7">
                  <c:v>Heavyweight</c:v>
                </c:pt>
              </c:strCache>
            </c:strRef>
          </c:cat>
          <c:val>
            <c:numRef>
              <c:f>'MEN -FlyW WHR'!$M$9:$M$16</c:f>
              <c:numCache>
                <c:formatCode>0.0</c:formatCode>
                <c:ptCount val="8"/>
                <c:pt idx="0">
                  <c:v>1600.6380952380953</c:v>
                </c:pt>
                <c:pt idx="1">
                  <c:v>1604.4566666666665</c:v>
                </c:pt>
                <c:pt idx="2">
                  <c:v>1592.1269230769226</c:v>
                </c:pt>
                <c:pt idx="3">
                  <c:v>1665.4633333333331</c:v>
                </c:pt>
                <c:pt idx="4">
                  <c:v>1659.2900000000002</c:v>
                </c:pt>
                <c:pt idx="5">
                  <c:v>1648.0133333333333</c:v>
                </c:pt>
                <c:pt idx="6">
                  <c:v>1639.4600000000003</c:v>
                </c:pt>
                <c:pt idx="7">
                  <c:v>1627.9599999999998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1-466D-968A-FA5A3AA6B41B}"/>
            </c:ext>
          </c:extLst>
        </c:ser>
        <c:ser>
          <c:idx val="1"/>
          <c:order val="1"/>
          <c:tx>
            <c:strRef>
              <c:f>'MEN -FlyW WHR'!$N$8</c:f>
              <c:strCache>
                <c:ptCount val="1"/>
                <c:pt idx="0">
                  <c:v>Max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'MEN -FlyW WHR'!$L$9:$L$16</c:f>
              <c:strCache>
                <c:ptCount val="8"/>
                <c:pt idx="0">
                  <c:v>Flyweight</c:v>
                </c:pt>
                <c:pt idx="1">
                  <c:v>Bantamweight</c:v>
                </c:pt>
                <c:pt idx="2">
                  <c:v>Featherweight</c:v>
                </c:pt>
                <c:pt idx="3">
                  <c:v>Lightweight</c:v>
                </c:pt>
                <c:pt idx="4">
                  <c:v>Welterweight</c:v>
                </c:pt>
                <c:pt idx="5">
                  <c:v>Middleweight</c:v>
                </c:pt>
                <c:pt idx="6">
                  <c:v>Light Heavyweight</c:v>
                </c:pt>
                <c:pt idx="7">
                  <c:v>Heavyweight</c:v>
                </c:pt>
              </c:strCache>
            </c:strRef>
          </c:cat>
          <c:val>
            <c:numRef>
              <c:f>'MEN -FlyW WHR'!$N$9:$N$16</c:f>
              <c:numCache>
                <c:formatCode>0.0</c:formatCode>
                <c:ptCount val="8"/>
                <c:pt idx="0">
                  <c:v>1933.6</c:v>
                </c:pt>
                <c:pt idx="1">
                  <c:v>1806</c:v>
                </c:pt>
                <c:pt idx="2">
                  <c:v>1912.4</c:v>
                </c:pt>
                <c:pt idx="3">
                  <c:v>1910.3</c:v>
                </c:pt>
                <c:pt idx="4">
                  <c:v>1990.2</c:v>
                </c:pt>
                <c:pt idx="5">
                  <c:v>1943.1</c:v>
                </c:pt>
                <c:pt idx="6">
                  <c:v>1999.2</c:v>
                </c:pt>
                <c:pt idx="7">
                  <c:v>1856.2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E1-466D-968A-FA5A3AA6B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Score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Division Depth (Fighter Count)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'MEN -FlyW WHR'!$O$8</c:f>
              <c:strCache>
                <c:ptCount val="1"/>
                <c:pt idx="0">
                  <c:v>Fighters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'MEN -FlyW WHR'!$L$9:$L$16</c:f>
              <c:strCache>
                <c:ptCount val="8"/>
                <c:pt idx="0">
                  <c:v>Flyweight</c:v>
                </c:pt>
                <c:pt idx="1">
                  <c:v>Bantamweight</c:v>
                </c:pt>
                <c:pt idx="2">
                  <c:v>Featherweight</c:v>
                </c:pt>
                <c:pt idx="3">
                  <c:v>Lightweight</c:v>
                </c:pt>
                <c:pt idx="4">
                  <c:v>Welterweight</c:v>
                </c:pt>
                <c:pt idx="5">
                  <c:v>Middleweight</c:v>
                </c:pt>
                <c:pt idx="6">
                  <c:v>Light Heavyweight</c:v>
                </c:pt>
                <c:pt idx="7">
                  <c:v>Heavyweight</c:v>
                </c:pt>
              </c:strCache>
            </c:strRef>
          </c:cat>
          <c:val>
            <c:numRef>
              <c:f>'MEN -FlyW WHR'!$O$9:$O$16</c:f>
              <c:numCache>
                <c:formatCode>General</c:formatCode>
                <c:ptCount val="8"/>
                <c:pt idx="0">
                  <c:v>21</c:v>
                </c:pt>
                <c:pt idx="1">
                  <c:v>30</c:v>
                </c:pt>
                <c:pt idx="2">
                  <c:v>26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2-4F91-A0FB-53B84FC99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Fighters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Fights vs WHR Score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WHR Score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'MEN -FlyW WHR'!$F$9:$F$235</c:f>
              <c:numCache>
                <c:formatCode>General</c:formatCode>
                <c:ptCount val="227"/>
                <c:pt idx="0">
                  <c:v>18</c:v>
                </c:pt>
                <c:pt idx="1">
                  <c:v>16</c:v>
                </c:pt>
                <c:pt idx="2">
                  <c:v>18</c:v>
                </c:pt>
                <c:pt idx="3">
                  <c:v>21</c:v>
                </c:pt>
                <c:pt idx="4">
                  <c:v>11</c:v>
                </c:pt>
                <c:pt idx="5">
                  <c:v>20</c:v>
                </c:pt>
                <c:pt idx="6">
                  <c:v>21</c:v>
                </c:pt>
                <c:pt idx="7">
                  <c:v>16</c:v>
                </c:pt>
                <c:pt idx="8">
                  <c:v>13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13</c:v>
                </c:pt>
                <c:pt idx="15">
                  <c:v>14</c:v>
                </c:pt>
                <c:pt idx="16">
                  <c:v>22</c:v>
                </c:pt>
                <c:pt idx="17">
                  <c:v>17</c:v>
                </c:pt>
                <c:pt idx="18">
                  <c:v>15</c:v>
                </c:pt>
                <c:pt idx="19">
                  <c:v>16</c:v>
                </c:pt>
                <c:pt idx="20">
                  <c:v>13</c:v>
                </c:pt>
                <c:pt idx="21">
                  <c:v>18</c:v>
                </c:pt>
                <c:pt idx="22">
                  <c:v>23</c:v>
                </c:pt>
                <c:pt idx="23">
                  <c:v>17</c:v>
                </c:pt>
                <c:pt idx="24">
                  <c:v>16</c:v>
                </c:pt>
                <c:pt idx="25">
                  <c:v>17</c:v>
                </c:pt>
                <c:pt idx="26">
                  <c:v>14</c:v>
                </c:pt>
                <c:pt idx="27">
                  <c:v>16</c:v>
                </c:pt>
                <c:pt idx="28">
                  <c:v>18</c:v>
                </c:pt>
                <c:pt idx="29">
                  <c:v>19</c:v>
                </c:pt>
                <c:pt idx="30">
                  <c:v>17</c:v>
                </c:pt>
                <c:pt idx="31">
                  <c:v>14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26</c:v>
                </c:pt>
                <c:pt idx="36">
                  <c:v>15</c:v>
                </c:pt>
                <c:pt idx="37">
                  <c:v>21</c:v>
                </c:pt>
                <c:pt idx="38">
                  <c:v>15</c:v>
                </c:pt>
                <c:pt idx="39">
                  <c:v>17</c:v>
                </c:pt>
                <c:pt idx="40">
                  <c:v>13</c:v>
                </c:pt>
                <c:pt idx="41">
                  <c:v>20</c:v>
                </c:pt>
                <c:pt idx="42">
                  <c:v>15</c:v>
                </c:pt>
                <c:pt idx="43">
                  <c:v>14</c:v>
                </c:pt>
                <c:pt idx="44">
                  <c:v>17</c:v>
                </c:pt>
                <c:pt idx="45">
                  <c:v>20</c:v>
                </c:pt>
                <c:pt idx="46">
                  <c:v>13</c:v>
                </c:pt>
                <c:pt idx="47">
                  <c:v>15</c:v>
                </c:pt>
                <c:pt idx="48">
                  <c:v>16</c:v>
                </c:pt>
                <c:pt idx="49">
                  <c:v>17</c:v>
                </c:pt>
                <c:pt idx="50">
                  <c:v>16</c:v>
                </c:pt>
                <c:pt idx="51">
                  <c:v>18</c:v>
                </c:pt>
                <c:pt idx="52">
                  <c:v>23</c:v>
                </c:pt>
                <c:pt idx="53">
                  <c:v>32</c:v>
                </c:pt>
                <c:pt idx="54">
                  <c:v>14</c:v>
                </c:pt>
                <c:pt idx="55">
                  <c:v>15</c:v>
                </c:pt>
                <c:pt idx="56">
                  <c:v>14</c:v>
                </c:pt>
                <c:pt idx="57">
                  <c:v>13</c:v>
                </c:pt>
                <c:pt idx="58">
                  <c:v>14</c:v>
                </c:pt>
                <c:pt idx="59">
                  <c:v>17</c:v>
                </c:pt>
                <c:pt idx="60">
                  <c:v>26</c:v>
                </c:pt>
                <c:pt idx="61">
                  <c:v>17</c:v>
                </c:pt>
                <c:pt idx="62">
                  <c:v>14</c:v>
                </c:pt>
                <c:pt idx="63">
                  <c:v>30</c:v>
                </c:pt>
                <c:pt idx="64">
                  <c:v>15</c:v>
                </c:pt>
                <c:pt idx="65">
                  <c:v>21</c:v>
                </c:pt>
                <c:pt idx="66">
                  <c:v>13</c:v>
                </c:pt>
                <c:pt idx="67">
                  <c:v>17</c:v>
                </c:pt>
                <c:pt idx="68">
                  <c:v>25</c:v>
                </c:pt>
                <c:pt idx="69">
                  <c:v>17</c:v>
                </c:pt>
                <c:pt idx="70">
                  <c:v>29</c:v>
                </c:pt>
                <c:pt idx="71">
                  <c:v>15</c:v>
                </c:pt>
                <c:pt idx="72">
                  <c:v>18</c:v>
                </c:pt>
                <c:pt idx="73">
                  <c:v>14</c:v>
                </c:pt>
                <c:pt idx="74">
                  <c:v>15</c:v>
                </c:pt>
                <c:pt idx="75">
                  <c:v>14</c:v>
                </c:pt>
                <c:pt idx="76">
                  <c:v>13</c:v>
                </c:pt>
                <c:pt idx="77">
                  <c:v>18</c:v>
                </c:pt>
                <c:pt idx="78">
                  <c:v>13</c:v>
                </c:pt>
                <c:pt idx="79">
                  <c:v>27</c:v>
                </c:pt>
                <c:pt idx="80">
                  <c:v>14</c:v>
                </c:pt>
                <c:pt idx="81">
                  <c:v>30</c:v>
                </c:pt>
                <c:pt idx="82">
                  <c:v>36</c:v>
                </c:pt>
                <c:pt idx="83">
                  <c:v>31</c:v>
                </c:pt>
                <c:pt idx="84">
                  <c:v>36</c:v>
                </c:pt>
                <c:pt idx="85">
                  <c:v>12</c:v>
                </c:pt>
                <c:pt idx="86">
                  <c:v>15</c:v>
                </c:pt>
                <c:pt idx="87">
                  <c:v>37</c:v>
                </c:pt>
                <c:pt idx="88">
                  <c:v>24</c:v>
                </c:pt>
                <c:pt idx="89">
                  <c:v>17</c:v>
                </c:pt>
                <c:pt idx="90">
                  <c:v>19</c:v>
                </c:pt>
                <c:pt idx="91">
                  <c:v>15</c:v>
                </c:pt>
                <c:pt idx="92">
                  <c:v>20</c:v>
                </c:pt>
                <c:pt idx="93">
                  <c:v>26</c:v>
                </c:pt>
                <c:pt idx="94">
                  <c:v>13</c:v>
                </c:pt>
                <c:pt idx="95">
                  <c:v>20</c:v>
                </c:pt>
                <c:pt idx="96">
                  <c:v>27</c:v>
                </c:pt>
                <c:pt idx="97">
                  <c:v>46</c:v>
                </c:pt>
                <c:pt idx="98">
                  <c:v>32</c:v>
                </c:pt>
                <c:pt idx="99">
                  <c:v>13</c:v>
                </c:pt>
                <c:pt idx="100">
                  <c:v>13</c:v>
                </c:pt>
                <c:pt idx="101">
                  <c:v>19</c:v>
                </c:pt>
                <c:pt idx="102">
                  <c:v>26</c:v>
                </c:pt>
                <c:pt idx="103">
                  <c:v>24</c:v>
                </c:pt>
                <c:pt idx="104">
                  <c:v>17</c:v>
                </c:pt>
                <c:pt idx="105">
                  <c:v>15</c:v>
                </c:pt>
                <c:pt idx="106">
                  <c:v>14</c:v>
                </c:pt>
                <c:pt idx="107">
                  <c:v>22</c:v>
                </c:pt>
                <c:pt idx="108">
                  <c:v>19</c:v>
                </c:pt>
                <c:pt idx="109">
                  <c:v>23</c:v>
                </c:pt>
                <c:pt idx="110">
                  <c:v>16</c:v>
                </c:pt>
                <c:pt idx="111">
                  <c:v>19</c:v>
                </c:pt>
                <c:pt idx="112">
                  <c:v>25</c:v>
                </c:pt>
                <c:pt idx="113">
                  <c:v>18</c:v>
                </c:pt>
                <c:pt idx="114">
                  <c:v>17</c:v>
                </c:pt>
                <c:pt idx="115">
                  <c:v>20</c:v>
                </c:pt>
                <c:pt idx="116">
                  <c:v>21</c:v>
                </c:pt>
                <c:pt idx="117">
                  <c:v>33</c:v>
                </c:pt>
                <c:pt idx="118">
                  <c:v>19</c:v>
                </c:pt>
                <c:pt idx="119">
                  <c:v>32</c:v>
                </c:pt>
                <c:pt idx="120">
                  <c:v>37</c:v>
                </c:pt>
                <c:pt idx="121">
                  <c:v>22</c:v>
                </c:pt>
                <c:pt idx="122">
                  <c:v>19</c:v>
                </c:pt>
                <c:pt idx="123">
                  <c:v>13</c:v>
                </c:pt>
                <c:pt idx="124">
                  <c:v>25</c:v>
                </c:pt>
                <c:pt idx="125">
                  <c:v>17</c:v>
                </c:pt>
                <c:pt idx="126">
                  <c:v>27</c:v>
                </c:pt>
                <c:pt idx="127">
                  <c:v>25</c:v>
                </c:pt>
                <c:pt idx="128">
                  <c:v>25</c:v>
                </c:pt>
                <c:pt idx="129">
                  <c:v>22</c:v>
                </c:pt>
                <c:pt idx="130">
                  <c:v>22</c:v>
                </c:pt>
                <c:pt idx="131">
                  <c:v>18</c:v>
                </c:pt>
                <c:pt idx="132">
                  <c:v>15</c:v>
                </c:pt>
                <c:pt idx="133">
                  <c:v>20</c:v>
                </c:pt>
                <c:pt idx="134">
                  <c:v>14</c:v>
                </c:pt>
                <c:pt idx="135">
                  <c:v>17</c:v>
                </c:pt>
                <c:pt idx="136">
                  <c:v>22</c:v>
                </c:pt>
                <c:pt idx="137">
                  <c:v>24</c:v>
                </c:pt>
                <c:pt idx="138">
                  <c:v>19</c:v>
                </c:pt>
                <c:pt idx="139">
                  <c:v>10</c:v>
                </c:pt>
                <c:pt idx="140">
                  <c:v>20</c:v>
                </c:pt>
                <c:pt idx="141">
                  <c:v>20</c:v>
                </c:pt>
                <c:pt idx="142">
                  <c:v>24</c:v>
                </c:pt>
                <c:pt idx="143">
                  <c:v>25</c:v>
                </c:pt>
                <c:pt idx="144">
                  <c:v>29</c:v>
                </c:pt>
                <c:pt idx="145">
                  <c:v>13</c:v>
                </c:pt>
                <c:pt idx="146">
                  <c:v>21</c:v>
                </c:pt>
                <c:pt idx="147">
                  <c:v>18</c:v>
                </c:pt>
                <c:pt idx="148">
                  <c:v>19</c:v>
                </c:pt>
                <c:pt idx="149">
                  <c:v>25</c:v>
                </c:pt>
                <c:pt idx="150">
                  <c:v>21</c:v>
                </c:pt>
                <c:pt idx="151">
                  <c:v>25</c:v>
                </c:pt>
                <c:pt idx="152">
                  <c:v>16</c:v>
                </c:pt>
                <c:pt idx="153">
                  <c:v>15</c:v>
                </c:pt>
                <c:pt idx="154">
                  <c:v>14</c:v>
                </c:pt>
                <c:pt idx="155">
                  <c:v>11</c:v>
                </c:pt>
                <c:pt idx="156">
                  <c:v>20</c:v>
                </c:pt>
                <c:pt idx="157">
                  <c:v>13</c:v>
                </c:pt>
                <c:pt idx="158">
                  <c:v>16</c:v>
                </c:pt>
                <c:pt idx="159">
                  <c:v>24</c:v>
                </c:pt>
                <c:pt idx="160">
                  <c:v>21</c:v>
                </c:pt>
                <c:pt idx="161">
                  <c:v>19</c:v>
                </c:pt>
                <c:pt idx="162">
                  <c:v>17</c:v>
                </c:pt>
                <c:pt idx="163">
                  <c:v>28</c:v>
                </c:pt>
                <c:pt idx="164">
                  <c:v>15</c:v>
                </c:pt>
                <c:pt idx="165">
                  <c:v>28</c:v>
                </c:pt>
                <c:pt idx="166">
                  <c:v>18</c:v>
                </c:pt>
                <c:pt idx="167">
                  <c:v>23</c:v>
                </c:pt>
                <c:pt idx="168">
                  <c:v>14</c:v>
                </c:pt>
                <c:pt idx="169">
                  <c:v>12</c:v>
                </c:pt>
                <c:pt idx="170">
                  <c:v>20</c:v>
                </c:pt>
                <c:pt idx="171">
                  <c:v>21</c:v>
                </c:pt>
                <c:pt idx="172">
                  <c:v>23</c:v>
                </c:pt>
                <c:pt idx="173">
                  <c:v>24</c:v>
                </c:pt>
                <c:pt idx="174">
                  <c:v>15</c:v>
                </c:pt>
                <c:pt idx="175">
                  <c:v>23</c:v>
                </c:pt>
                <c:pt idx="176">
                  <c:v>13</c:v>
                </c:pt>
                <c:pt idx="177">
                  <c:v>22</c:v>
                </c:pt>
                <c:pt idx="178">
                  <c:v>20</c:v>
                </c:pt>
                <c:pt idx="179">
                  <c:v>15</c:v>
                </c:pt>
                <c:pt idx="180">
                  <c:v>18</c:v>
                </c:pt>
                <c:pt idx="181">
                  <c:v>15</c:v>
                </c:pt>
                <c:pt idx="182">
                  <c:v>24</c:v>
                </c:pt>
                <c:pt idx="183">
                  <c:v>25</c:v>
                </c:pt>
                <c:pt idx="184">
                  <c:v>16</c:v>
                </c:pt>
                <c:pt idx="185">
                  <c:v>15</c:v>
                </c:pt>
                <c:pt idx="186">
                  <c:v>15</c:v>
                </c:pt>
                <c:pt idx="187">
                  <c:v>28</c:v>
                </c:pt>
                <c:pt idx="188">
                  <c:v>17</c:v>
                </c:pt>
                <c:pt idx="189">
                  <c:v>21</c:v>
                </c:pt>
                <c:pt idx="190">
                  <c:v>15</c:v>
                </c:pt>
                <c:pt idx="191">
                  <c:v>15</c:v>
                </c:pt>
                <c:pt idx="192">
                  <c:v>17</c:v>
                </c:pt>
                <c:pt idx="193">
                  <c:v>16</c:v>
                </c:pt>
                <c:pt idx="194">
                  <c:v>17</c:v>
                </c:pt>
                <c:pt idx="195">
                  <c:v>15</c:v>
                </c:pt>
                <c:pt idx="196">
                  <c:v>16</c:v>
                </c:pt>
                <c:pt idx="197">
                  <c:v>20</c:v>
                </c:pt>
                <c:pt idx="198">
                  <c:v>19</c:v>
                </c:pt>
                <c:pt idx="199">
                  <c:v>15</c:v>
                </c:pt>
                <c:pt idx="200">
                  <c:v>13</c:v>
                </c:pt>
                <c:pt idx="201">
                  <c:v>14</c:v>
                </c:pt>
                <c:pt idx="202">
                  <c:v>23</c:v>
                </c:pt>
                <c:pt idx="203">
                  <c:v>12</c:v>
                </c:pt>
                <c:pt idx="204">
                  <c:v>41</c:v>
                </c:pt>
                <c:pt idx="205">
                  <c:v>18</c:v>
                </c:pt>
                <c:pt idx="206">
                  <c:v>19</c:v>
                </c:pt>
                <c:pt idx="207">
                  <c:v>20</c:v>
                </c:pt>
                <c:pt idx="208">
                  <c:v>27</c:v>
                </c:pt>
                <c:pt idx="209">
                  <c:v>31</c:v>
                </c:pt>
                <c:pt idx="210">
                  <c:v>20</c:v>
                </c:pt>
                <c:pt idx="211">
                  <c:v>13</c:v>
                </c:pt>
                <c:pt idx="212">
                  <c:v>15</c:v>
                </c:pt>
                <c:pt idx="213">
                  <c:v>17</c:v>
                </c:pt>
                <c:pt idx="214">
                  <c:v>17</c:v>
                </c:pt>
                <c:pt idx="215">
                  <c:v>24</c:v>
                </c:pt>
                <c:pt idx="216">
                  <c:v>11</c:v>
                </c:pt>
                <c:pt idx="217">
                  <c:v>22</c:v>
                </c:pt>
                <c:pt idx="218">
                  <c:v>24</c:v>
                </c:pt>
                <c:pt idx="219">
                  <c:v>15</c:v>
                </c:pt>
                <c:pt idx="220">
                  <c:v>18</c:v>
                </c:pt>
                <c:pt idx="221">
                  <c:v>19</c:v>
                </c:pt>
                <c:pt idx="222">
                  <c:v>14</c:v>
                </c:pt>
                <c:pt idx="223">
                  <c:v>17</c:v>
                </c:pt>
                <c:pt idx="224">
                  <c:v>17</c:v>
                </c:pt>
                <c:pt idx="225">
                  <c:v>18</c:v>
                </c:pt>
                <c:pt idx="226">
                  <c:v>18</c:v>
                </c:pt>
              </c:numCache>
            </c:numRef>
          </c:xVal>
          <c:yVal>
            <c:numRef>
              <c:f>'MEN -FlyW WHR'!$G$9:$G$235</c:f>
              <c:numCache>
                <c:formatCode>General</c:formatCode>
                <c:ptCount val="227"/>
                <c:pt idx="0">
                  <c:v>1933.6</c:v>
                </c:pt>
                <c:pt idx="1">
                  <c:v>1789.5</c:v>
                </c:pt>
                <c:pt idx="2">
                  <c:v>1772.9</c:v>
                </c:pt>
                <c:pt idx="3">
                  <c:v>1737.6</c:v>
                </c:pt>
                <c:pt idx="4">
                  <c:v>1719.4</c:v>
                </c:pt>
                <c:pt idx="5">
                  <c:v>1711.6</c:v>
                </c:pt>
                <c:pt idx="6">
                  <c:v>1696</c:v>
                </c:pt>
                <c:pt idx="7">
                  <c:v>1602</c:v>
                </c:pt>
                <c:pt idx="8">
                  <c:v>1569</c:v>
                </c:pt>
                <c:pt idx="9">
                  <c:v>1564.5</c:v>
                </c:pt>
                <c:pt idx="10">
                  <c:v>1562.2</c:v>
                </c:pt>
                <c:pt idx="11">
                  <c:v>1556.3</c:v>
                </c:pt>
                <c:pt idx="12">
                  <c:v>1554.1</c:v>
                </c:pt>
                <c:pt idx="13">
                  <c:v>1528.4</c:v>
                </c:pt>
                <c:pt idx="14">
                  <c:v>1513</c:v>
                </c:pt>
                <c:pt idx="15">
                  <c:v>1502.3</c:v>
                </c:pt>
                <c:pt idx="16">
                  <c:v>1491.5</c:v>
                </c:pt>
                <c:pt idx="17">
                  <c:v>1488.5</c:v>
                </c:pt>
                <c:pt idx="18">
                  <c:v>1469.8</c:v>
                </c:pt>
                <c:pt idx="19">
                  <c:v>1453.9</c:v>
                </c:pt>
                <c:pt idx="20">
                  <c:v>1397.3</c:v>
                </c:pt>
                <c:pt idx="21">
                  <c:v>1806</c:v>
                </c:pt>
                <c:pt idx="22">
                  <c:v>1789.4</c:v>
                </c:pt>
                <c:pt idx="23">
                  <c:v>1783.8</c:v>
                </c:pt>
                <c:pt idx="24">
                  <c:v>1743</c:v>
                </c:pt>
                <c:pt idx="25">
                  <c:v>1725.9</c:v>
                </c:pt>
                <c:pt idx="26">
                  <c:v>1703.5</c:v>
                </c:pt>
                <c:pt idx="27">
                  <c:v>1661.5</c:v>
                </c:pt>
                <c:pt idx="28">
                  <c:v>1637.3</c:v>
                </c:pt>
                <c:pt idx="29">
                  <c:v>1630.1</c:v>
                </c:pt>
                <c:pt idx="30">
                  <c:v>1623.6</c:v>
                </c:pt>
                <c:pt idx="31">
                  <c:v>1617.2</c:v>
                </c:pt>
                <c:pt idx="32">
                  <c:v>1610</c:v>
                </c:pt>
                <c:pt idx="33">
                  <c:v>1605.1</c:v>
                </c:pt>
                <c:pt idx="34">
                  <c:v>1588.9</c:v>
                </c:pt>
                <c:pt idx="35">
                  <c:v>1585.9</c:v>
                </c:pt>
                <c:pt idx="36">
                  <c:v>1577.3</c:v>
                </c:pt>
                <c:pt idx="37">
                  <c:v>1572.1</c:v>
                </c:pt>
                <c:pt idx="38">
                  <c:v>1562.9</c:v>
                </c:pt>
                <c:pt idx="39">
                  <c:v>1556.6</c:v>
                </c:pt>
                <c:pt idx="40">
                  <c:v>1555.2</c:v>
                </c:pt>
                <c:pt idx="41">
                  <c:v>1553.2</c:v>
                </c:pt>
                <c:pt idx="42">
                  <c:v>1548.3</c:v>
                </c:pt>
                <c:pt idx="43">
                  <c:v>1544.6</c:v>
                </c:pt>
                <c:pt idx="44">
                  <c:v>1537.1</c:v>
                </c:pt>
                <c:pt idx="45">
                  <c:v>1536.3</c:v>
                </c:pt>
                <c:pt idx="46">
                  <c:v>1515.9</c:v>
                </c:pt>
                <c:pt idx="47">
                  <c:v>1515</c:v>
                </c:pt>
                <c:pt idx="48">
                  <c:v>1497.2</c:v>
                </c:pt>
                <c:pt idx="49">
                  <c:v>1479.9</c:v>
                </c:pt>
                <c:pt idx="50">
                  <c:v>1470.9</c:v>
                </c:pt>
                <c:pt idx="51">
                  <c:v>1912.4</c:v>
                </c:pt>
                <c:pt idx="52">
                  <c:v>1885.5</c:v>
                </c:pt>
                <c:pt idx="53">
                  <c:v>1844.4</c:v>
                </c:pt>
                <c:pt idx="54">
                  <c:v>1774.9</c:v>
                </c:pt>
                <c:pt idx="55">
                  <c:v>1650.8</c:v>
                </c:pt>
                <c:pt idx="56">
                  <c:v>1642.9</c:v>
                </c:pt>
                <c:pt idx="57">
                  <c:v>1636.3</c:v>
                </c:pt>
                <c:pt idx="58">
                  <c:v>1634.4</c:v>
                </c:pt>
                <c:pt idx="59">
                  <c:v>1612.4</c:v>
                </c:pt>
                <c:pt idx="60">
                  <c:v>1602.7</c:v>
                </c:pt>
                <c:pt idx="61">
                  <c:v>1599.2</c:v>
                </c:pt>
                <c:pt idx="62">
                  <c:v>1594.6</c:v>
                </c:pt>
                <c:pt idx="63">
                  <c:v>1584.5</c:v>
                </c:pt>
                <c:pt idx="64">
                  <c:v>1547.7</c:v>
                </c:pt>
                <c:pt idx="65">
                  <c:v>1543.5</c:v>
                </c:pt>
                <c:pt idx="66">
                  <c:v>1540.5</c:v>
                </c:pt>
                <c:pt idx="67">
                  <c:v>1536.3</c:v>
                </c:pt>
                <c:pt idx="68">
                  <c:v>1513.4</c:v>
                </c:pt>
                <c:pt idx="69">
                  <c:v>1510.6</c:v>
                </c:pt>
                <c:pt idx="70">
                  <c:v>1501.1</c:v>
                </c:pt>
                <c:pt idx="71">
                  <c:v>1492</c:v>
                </c:pt>
                <c:pt idx="72">
                  <c:v>1482.1</c:v>
                </c:pt>
                <c:pt idx="73">
                  <c:v>1470</c:v>
                </c:pt>
                <c:pt idx="74">
                  <c:v>1444.1</c:v>
                </c:pt>
                <c:pt idx="75">
                  <c:v>1420.3</c:v>
                </c:pt>
                <c:pt idx="76">
                  <c:v>1418.7</c:v>
                </c:pt>
                <c:pt idx="77">
                  <c:v>1910.3</c:v>
                </c:pt>
                <c:pt idx="78">
                  <c:v>1836.6</c:v>
                </c:pt>
                <c:pt idx="79">
                  <c:v>1819.2</c:v>
                </c:pt>
                <c:pt idx="80">
                  <c:v>1787.7</c:v>
                </c:pt>
                <c:pt idx="81">
                  <c:v>1772.7</c:v>
                </c:pt>
                <c:pt idx="82">
                  <c:v>1738.9</c:v>
                </c:pt>
                <c:pt idx="83">
                  <c:v>1709.8</c:v>
                </c:pt>
                <c:pt idx="84">
                  <c:v>1708</c:v>
                </c:pt>
                <c:pt idx="85">
                  <c:v>1698.9</c:v>
                </c:pt>
                <c:pt idx="86">
                  <c:v>1692.9</c:v>
                </c:pt>
                <c:pt idx="87">
                  <c:v>1667.7</c:v>
                </c:pt>
                <c:pt idx="88">
                  <c:v>1667.5</c:v>
                </c:pt>
                <c:pt idx="89">
                  <c:v>1663.4</c:v>
                </c:pt>
                <c:pt idx="90">
                  <c:v>1650.1</c:v>
                </c:pt>
                <c:pt idx="91">
                  <c:v>1648.6</c:v>
                </c:pt>
                <c:pt idx="92">
                  <c:v>1647.6</c:v>
                </c:pt>
                <c:pt idx="93">
                  <c:v>1641.1</c:v>
                </c:pt>
                <c:pt idx="94">
                  <c:v>1628.8</c:v>
                </c:pt>
                <c:pt idx="95">
                  <c:v>1608.1</c:v>
                </c:pt>
                <c:pt idx="96">
                  <c:v>1607</c:v>
                </c:pt>
                <c:pt idx="97">
                  <c:v>1606.7</c:v>
                </c:pt>
                <c:pt idx="98">
                  <c:v>1602.8</c:v>
                </c:pt>
                <c:pt idx="99">
                  <c:v>1599.8</c:v>
                </c:pt>
                <c:pt idx="100">
                  <c:v>1597.1</c:v>
                </c:pt>
                <c:pt idx="101">
                  <c:v>1589.9</c:v>
                </c:pt>
                <c:pt idx="102">
                  <c:v>1579.9</c:v>
                </c:pt>
                <c:pt idx="103">
                  <c:v>1577.6</c:v>
                </c:pt>
                <c:pt idx="104">
                  <c:v>1572.7</c:v>
                </c:pt>
                <c:pt idx="105">
                  <c:v>1566.9</c:v>
                </c:pt>
                <c:pt idx="106">
                  <c:v>1565.6</c:v>
                </c:pt>
                <c:pt idx="107">
                  <c:v>1990.2</c:v>
                </c:pt>
                <c:pt idx="108">
                  <c:v>1857</c:v>
                </c:pt>
                <c:pt idx="109">
                  <c:v>1849.9</c:v>
                </c:pt>
                <c:pt idx="110">
                  <c:v>1732.4</c:v>
                </c:pt>
                <c:pt idx="111">
                  <c:v>1729.1</c:v>
                </c:pt>
                <c:pt idx="112">
                  <c:v>1706.3</c:v>
                </c:pt>
                <c:pt idx="113">
                  <c:v>1686.9</c:v>
                </c:pt>
                <c:pt idx="114">
                  <c:v>1685.1</c:v>
                </c:pt>
                <c:pt idx="115">
                  <c:v>1678.3</c:v>
                </c:pt>
                <c:pt idx="116">
                  <c:v>1675.3</c:v>
                </c:pt>
                <c:pt idx="117">
                  <c:v>1671.5</c:v>
                </c:pt>
                <c:pt idx="118">
                  <c:v>1646.8</c:v>
                </c:pt>
                <c:pt idx="119">
                  <c:v>1631.8</c:v>
                </c:pt>
                <c:pt idx="120">
                  <c:v>1625.6</c:v>
                </c:pt>
                <c:pt idx="121">
                  <c:v>1623</c:v>
                </c:pt>
                <c:pt idx="122">
                  <c:v>1620.4</c:v>
                </c:pt>
                <c:pt idx="123">
                  <c:v>1619.5</c:v>
                </c:pt>
                <c:pt idx="124">
                  <c:v>1618</c:v>
                </c:pt>
                <c:pt idx="125">
                  <c:v>1617.3</c:v>
                </c:pt>
                <c:pt idx="126">
                  <c:v>1614.2</c:v>
                </c:pt>
                <c:pt idx="127">
                  <c:v>1611.8</c:v>
                </c:pt>
                <c:pt idx="128">
                  <c:v>1610.6</c:v>
                </c:pt>
                <c:pt idx="129">
                  <c:v>1599.8</c:v>
                </c:pt>
                <c:pt idx="130">
                  <c:v>1589</c:v>
                </c:pt>
                <c:pt idx="131">
                  <c:v>1585.7</c:v>
                </c:pt>
                <c:pt idx="132">
                  <c:v>1583.3</c:v>
                </c:pt>
                <c:pt idx="133">
                  <c:v>1581.9</c:v>
                </c:pt>
                <c:pt idx="134">
                  <c:v>1581.6</c:v>
                </c:pt>
                <c:pt idx="135">
                  <c:v>1581.3</c:v>
                </c:pt>
                <c:pt idx="136">
                  <c:v>1575.1</c:v>
                </c:pt>
                <c:pt idx="137">
                  <c:v>1943.1</c:v>
                </c:pt>
                <c:pt idx="138">
                  <c:v>1867.9</c:v>
                </c:pt>
                <c:pt idx="139">
                  <c:v>1788.7</c:v>
                </c:pt>
                <c:pt idx="140">
                  <c:v>1764.9</c:v>
                </c:pt>
                <c:pt idx="141">
                  <c:v>1761.4</c:v>
                </c:pt>
                <c:pt idx="142">
                  <c:v>1716.3</c:v>
                </c:pt>
                <c:pt idx="143">
                  <c:v>1712</c:v>
                </c:pt>
                <c:pt idx="144">
                  <c:v>1671.2</c:v>
                </c:pt>
                <c:pt idx="145">
                  <c:v>1669.6</c:v>
                </c:pt>
                <c:pt idx="146">
                  <c:v>1650.9</c:v>
                </c:pt>
                <c:pt idx="147">
                  <c:v>1645</c:v>
                </c:pt>
                <c:pt idx="148">
                  <c:v>1639.9</c:v>
                </c:pt>
                <c:pt idx="149">
                  <c:v>1619</c:v>
                </c:pt>
                <c:pt idx="150">
                  <c:v>1618</c:v>
                </c:pt>
                <c:pt idx="151">
                  <c:v>1612.3</c:v>
                </c:pt>
                <c:pt idx="152">
                  <c:v>1611.7</c:v>
                </c:pt>
                <c:pt idx="153">
                  <c:v>1608.5</c:v>
                </c:pt>
                <c:pt idx="154">
                  <c:v>1602.2</c:v>
                </c:pt>
                <c:pt idx="155">
                  <c:v>1601.6</c:v>
                </c:pt>
                <c:pt idx="156">
                  <c:v>1593.8</c:v>
                </c:pt>
                <c:pt idx="157">
                  <c:v>1592.4</c:v>
                </c:pt>
                <c:pt idx="158">
                  <c:v>1582.9</c:v>
                </c:pt>
                <c:pt idx="159">
                  <c:v>1579.1</c:v>
                </c:pt>
                <c:pt idx="160">
                  <c:v>1575.8</c:v>
                </c:pt>
                <c:pt idx="161">
                  <c:v>1574</c:v>
                </c:pt>
                <c:pt idx="162">
                  <c:v>1572.9</c:v>
                </c:pt>
                <c:pt idx="163">
                  <c:v>1569.7</c:v>
                </c:pt>
                <c:pt idx="164">
                  <c:v>1567.3</c:v>
                </c:pt>
                <c:pt idx="165">
                  <c:v>1564.6</c:v>
                </c:pt>
                <c:pt idx="166">
                  <c:v>1563.7</c:v>
                </c:pt>
                <c:pt idx="167">
                  <c:v>1999.2</c:v>
                </c:pt>
                <c:pt idx="168">
                  <c:v>1877.7</c:v>
                </c:pt>
                <c:pt idx="169">
                  <c:v>1874.1</c:v>
                </c:pt>
                <c:pt idx="170">
                  <c:v>1772.8</c:v>
                </c:pt>
                <c:pt idx="171">
                  <c:v>1759.4</c:v>
                </c:pt>
                <c:pt idx="172">
                  <c:v>1725.9</c:v>
                </c:pt>
                <c:pt idx="173">
                  <c:v>1721.6</c:v>
                </c:pt>
                <c:pt idx="174">
                  <c:v>1695</c:v>
                </c:pt>
                <c:pt idx="175">
                  <c:v>1685.3</c:v>
                </c:pt>
                <c:pt idx="176">
                  <c:v>1682.2</c:v>
                </c:pt>
                <c:pt idx="177">
                  <c:v>1669.5</c:v>
                </c:pt>
                <c:pt idx="178">
                  <c:v>1648</c:v>
                </c:pt>
                <c:pt idx="179">
                  <c:v>1636.8</c:v>
                </c:pt>
                <c:pt idx="180">
                  <c:v>1628.6</c:v>
                </c:pt>
                <c:pt idx="181">
                  <c:v>1611.9</c:v>
                </c:pt>
                <c:pt idx="182">
                  <c:v>1587.4</c:v>
                </c:pt>
                <c:pt idx="183">
                  <c:v>1582.9</c:v>
                </c:pt>
                <c:pt idx="184">
                  <c:v>1575</c:v>
                </c:pt>
                <c:pt idx="185">
                  <c:v>1571</c:v>
                </c:pt>
                <c:pt idx="186">
                  <c:v>1558.3</c:v>
                </c:pt>
                <c:pt idx="187">
                  <c:v>1551.5</c:v>
                </c:pt>
                <c:pt idx="188">
                  <c:v>1543.4</c:v>
                </c:pt>
                <c:pt idx="189">
                  <c:v>1540.9</c:v>
                </c:pt>
                <c:pt idx="190">
                  <c:v>1539</c:v>
                </c:pt>
                <c:pt idx="191">
                  <c:v>1536.3</c:v>
                </c:pt>
                <c:pt idx="192">
                  <c:v>1535.5</c:v>
                </c:pt>
                <c:pt idx="193">
                  <c:v>1534.2</c:v>
                </c:pt>
                <c:pt idx="194">
                  <c:v>1516.1</c:v>
                </c:pt>
                <c:pt idx="195">
                  <c:v>1512.5</c:v>
                </c:pt>
                <c:pt idx="196">
                  <c:v>1511.8</c:v>
                </c:pt>
                <c:pt idx="197">
                  <c:v>1856.2</c:v>
                </c:pt>
                <c:pt idx="198">
                  <c:v>1829.8</c:v>
                </c:pt>
                <c:pt idx="199">
                  <c:v>1786</c:v>
                </c:pt>
                <c:pt idx="200">
                  <c:v>1768</c:v>
                </c:pt>
                <c:pt idx="201">
                  <c:v>1760.7</c:v>
                </c:pt>
                <c:pt idx="202">
                  <c:v>1743.4</c:v>
                </c:pt>
                <c:pt idx="203">
                  <c:v>1720.9</c:v>
                </c:pt>
                <c:pt idx="204">
                  <c:v>1720.7</c:v>
                </c:pt>
                <c:pt idx="205">
                  <c:v>1698.8</c:v>
                </c:pt>
                <c:pt idx="206">
                  <c:v>1665.7</c:v>
                </c:pt>
                <c:pt idx="207">
                  <c:v>1665.3</c:v>
                </c:pt>
                <c:pt idx="208">
                  <c:v>1652.2</c:v>
                </c:pt>
                <c:pt idx="209">
                  <c:v>1633.3</c:v>
                </c:pt>
                <c:pt idx="210">
                  <c:v>1624.7</c:v>
                </c:pt>
                <c:pt idx="211">
                  <c:v>1601.9</c:v>
                </c:pt>
                <c:pt idx="212">
                  <c:v>1581.8</c:v>
                </c:pt>
                <c:pt idx="213">
                  <c:v>1567.5</c:v>
                </c:pt>
                <c:pt idx="214">
                  <c:v>1559</c:v>
                </c:pt>
                <c:pt idx="215">
                  <c:v>1557.6</c:v>
                </c:pt>
                <c:pt idx="216">
                  <c:v>1554.7</c:v>
                </c:pt>
                <c:pt idx="217">
                  <c:v>1549.7</c:v>
                </c:pt>
                <c:pt idx="218">
                  <c:v>1546.3</c:v>
                </c:pt>
                <c:pt idx="219">
                  <c:v>1543.6</c:v>
                </c:pt>
                <c:pt idx="220">
                  <c:v>1541.2</c:v>
                </c:pt>
                <c:pt idx="221">
                  <c:v>1529.5</c:v>
                </c:pt>
                <c:pt idx="222">
                  <c:v>1525.2</c:v>
                </c:pt>
                <c:pt idx="223">
                  <c:v>1521.8</c:v>
                </c:pt>
                <c:pt idx="224">
                  <c:v>1517.9</c:v>
                </c:pt>
                <c:pt idx="225">
                  <c:v>1509.3</c:v>
                </c:pt>
                <c:pt idx="226">
                  <c:v>1506.1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A4-4255-B4E8-13E521DA5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Fights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WHR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Metric Disagreement: z WHR Score vs z Method I+P Score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z Method I+P Score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'WOMEN -Overall 10 yr'!$J$9:$J$43</c:f>
              <c:numCache>
                <c:formatCode>0.00</c:formatCode>
                <c:ptCount val="35"/>
                <c:pt idx="0">
                  <c:v>2.9047721427209887</c:v>
                </c:pt>
                <c:pt idx="1">
                  <c:v>2.4705994025336397</c:v>
                </c:pt>
                <c:pt idx="2">
                  <c:v>1.8700614067604837</c:v>
                </c:pt>
                <c:pt idx="3">
                  <c:v>1.8221806746650557</c:v>
                </c:pt>
                <c:pt idx="4">
                  <c:v>1.3523002698641688</c:v>
                </c:pt>
                <c:pt idx="5">
                  <c:v>0.58296240500882723</c:v>
                </c:pt>
                <c:pt idx="6">
                  <c:v>0.56429703486993221</c:v>
                </c:pt>
                <c:pt idx="7">
                  <c:v>0.34842797152444721</c:v>
                </c:pt>
                <c:pt idx="8">
                  <c:v>0.33544336621043197</c:v>
                </c:pt>
                <c:pt idx="9">
                  <c:v>0.25915880999059976</c:v>
                </c:pt>
                <c:pt idx="10">
                  <c:v>7.4939722098023229E-2</c:v>
                </c:pt>
                <c:pt idx="11">
                  <c:v>7.3316646433771088E-2</c:v>
                </c:pt>
                <c:pt idx="12">
                  <c:v>5.6274351959128208E-2</c:v>
                </c:pt>
                <c:pt idx="13">
                  <c:v>4.335930703070757E-3</c:v>
                </c:pt>
                <c:pt idx="14">
                  <c:v>-9.4602124430696773E-3</c:v>
                </c:pt>
                <c:pt idx="15">
                  <c:v>-0.1953023759998965</c:v>
                </c:pt>
                <c:pt idx="16">
                  <c:v>-0.24480618375957666</c:v>
                </c:pt>
                <c:pt idx="17">
                  <c:v>-0.25373309991296067</c:v>
                </c:pt>
                <c:pt idx="18">
                  <c:v>-0.27239847005185569</c:v>
                </c:pt>
                <c:pt idx="19">
                  <c:v>-0.35030610193594186</c:v>
                </c:pt>
                <c:pt idx="20">
                  <c:v>-0.45012525528742547</c:v>
                </c:pt>
                <c:pt idx="21">
                  <c:v>-0.47447139025120211</c:v>
                </c:pt>
                <c:pt idx="22">
                  <c:v>-0.51099059269686697</c:v>
                </c:pt>
                <c:pt idx="23">
                  <c:v>-0.52884442500363682</c:v>
                </c:pt>
                <c:pt idx="24">
                  <c:v>-0.66355970513653317</c:v>
                </c:pt>
                <c:pt idx="25">
                  <c:v>-0.6651827808007853</c:v>
                </c:pt>
                <c:pt idx="26">
                  <c:v>-0.67005200779353991</c:v>
                </c:pt>
                <c:pt idx="27">
                  <c:v>-0.71144043723196126</c:v>
                </c:pt>
                <c:pt idx="28">
                  <c:v>-0.76905962331289834</c:v>
                </c:pt>
                <c:pt idx="29">
                  <c:v>-0.80882497708706758</c:v>
                </c:pt>
                <c:pt idx="30">
                  <c:v>-0.94922102204484549</c:v>
                </c:pt>
                <c:pt idx="31">
                  <c:v>-1.0677055455352242</c:v>
                </c:pt>
                <c:pt idx="32">
                  <c:v>-0.84290956603635325</c:v>
                </c:pt>
                <c:pt idx="33">
                  <c:v>-0.94678640854846818</c:v>
                </c:pt>
                <c:pt idx="34">
                  <c:v>-1.3338899544725145</c:v>
                </c:pt>
              </c:numCache>
            </c:numRef>
          </c:xVal>
          <c:yVal>
            <c:numRef>
              <c:f>'WOMEN -Overall 10 yr'!$L$9:$L$43</c:f>
              <c:numCache>
                <c:formatCode>0.00</c:formatCode>
                <c:ptCount val="35"/>
                <c:pt idx="0">
                  <c:v>2.2907552381539933</c:v>
                </c:pt>
                <c:pt idx="1">
                  <c:v>2.1626693431896502</c:v>
                </c:pt>
                <c:pt idx="2">
                  <c:v>2.0816453111478093</c:v>
                </c:pt>
                <c:pt idx="3">
                  <c:v>1.8720502102970638</c:v>
                </c:pt>
                <c:pt idx="4">
                  <c:v>1.8114034797268246</c:v>
                </c:pt>
                <c:pt idx="5">
                  <c:v>0.27097652324275101</c:v>
                </c:pt>
                <c:pt idx="6">
                  <c:v>0.75372449858185442</c:v>
                </c:pt>
                <c:pt idx="7">
                  <c:v>0.11572089298293889</c:v>
                </c:pt>
                <c:pt idx="8">
                  <c:v>0.19189318657915835</c:v>
                </c:pt>
                <c:pt idx="9">
                  <c:v>0.50580066401071622</c:v>
                </c:pt>
                <c:pt idx="10">
                  <c:v>-0.10212216322536047</c:v>
                </c:pt>
                <c:pt idx="11">
                  <c:v>0.1011656776460815</c:v>
                </c:pt>
                <c:pt idx="12">
                  <c:v>-0.3762453854028413</c:v>
                </c:pt>
                <c:pt idx="13">
                  <c:v>0.43545045654923886</c:v>
                </c:pt>
                <c:pt idx="14">
                  <c:v>-8.5626252510254977E-2</c:v>
                </c:pt>
                <c:pt idx="15">
                  <c:v>7.25404208169282E-2</c:v>
                </c:pt>
                <c:pt idx="16">
                  <c:v>-0.35392738855299372</c:v>
                </c:pt>
                <c:pt idx="17">
                  <c:v>-0.10939977089378916</c:v>
                </c:pt>
                <c:pt idx="18">
                  <c:v>-0.59408844161114061</c:v>
                </c:pt>
                <c:pt idx="19">
                  <c:v>-1.0700439831263768</c:v>
                </c:pt>
                <c:pt idx="20">
                  <c:v>-0.27484405188940103</c:v>
                </c:pt>
                <c:pt idx="21">
                  <c:v>6.138142239200442E-2</c:v>
                </c:pt>
                <c:pt idx="22">
                  <c:v>-0.96573160654556556</c:v>
                </c:pt>
                <c:pt idx="23">
                  <c:v>-1.3155419484747044</c:v>
                </c:pt>
                <c:pt idx="24">
                  <c:v>-0.47085428509241428</c:v>
                </c:pt>
                <c:pt idx="25">
                  <c:v>-5.3604778769169172E-2</c:v>
                </c:pt>
                <c:pt idx="26">
                  <c:v>9.9529948684409855E-3</c:v>
                </c:pt>
                <c:pt idx="27">
                  <c:v>-1.4222801942783252</c:v>
                </c:pt>
                <c:pt idx="28">
                  <c:v>-0.84152710233771622</c:v>
                </c:pt>
                <c:pt idx="29">
                  <c:v>-1.2927387777802952</c:v>
                </c:pt>
                <c:pt idx="30">
                  <c:v>-0.26222953193079174</c:v>
                </c:pt>
                <c:pt idx="31">
                  <c:v>-0.55818557711355865</c:v>
                </c:pt>
                <c:pt idx="32">
                  <c:v>-0.73090746577759924</c:v>
                </c:pt>
                <c:pt idx="33">
                  <c:v>-0.9143031790220032</c:v>
                </c:pt>
                <c:pt idx="34">
                  <c:v>-0.94292843585115538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FD-4820-982A-D0B771DC2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z WHR Score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z Method I+P Score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Fights vs WHR Score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WHR Score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'WOMEN -Overall 10 yr'!$F$9:$F$43</c:f>
              <c:numCache>
                <c:formatCode>General</c:formatCode>
                <c:ptCount val="35"/>
                <c:pt idx="0">
                  <c:v>18</c:v>
                </c:pt>
                <c:pt idx="1">
                  <c:v>19</c:v>
                </c:pt>
                <c:pt idx="2">
                  <c:v>13</c:v>
                </c:pt>
                <c:pt idx="3">
                  <c:v>15</c:v>
                </c:pt>
                <c:pt idx="4">
                  <c:v>19</c:v>
                </c:pt>
                <c:pt idx="5">
                  <c:v>16</c:v>
                </c:pt>
                <c:pt idx="6">
                  <c:v>30</c:v>
                </c:pt>
                <c:pt idx="7">
                  <c:v>19</c:v>
                </c:pt>
                <c:pt idx="8">
                  <c:v>15</c:v>
                </c:pt>
                <c:pt idx="9">
                  <c:v>15</c:v>
                </c:pt>
                <c:pt idx="10">
                  <c:v>13</c:v>
                </c:pt>
                <c:pt idx="11">
                  <c:v>13</c:v>
                </c:pt>
                <c:pt idx="12">
                  <c:v>17</c:v>
                </c:pt>
                <c:pt idx="13">
                  <c:v>13</c:v>
                </c:pt>
                <c:pt idx="14">
                  <c:v>16</c:v>
                </c:pt>
                <c:pt idx="15">
                  <c:v>14</c:v>
                </c:pt>
                <c:pt idx="16">
                  <c:v>14</c:v>
                </c:pt>
                <c:pt idx="17">
                  <c:v>15</c:v>
                </c:pt>
                <c:pt idx="18">
                  <c:v>20</c:v>
                </c:pt>
                <c:pt idx="19">
                  <c:v>14</c:v>
                </c:pt>
                <c:pt idx="20">
                  <c:v>19</c:v>
                </c:pt>
                <c:pt idx="21">
                  <c:v>15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19</c:v>
                </c:pt>
                <c:pt idx="26">
                  <c:v>13</c:v>
                </c:pt>
                <c:pt idx="27">
                  <c:v>15</c:v>
                </c:pt>
                <c:pt idx="28">
                  <c:v>14</c:v>
                </c:pt>
                <c:pt idx="29">
                  <c:v>17</c:v>
                </c:pt>
                <c:pt idx="30">
                  <c:v>15</c:v>
                </c:pt>
                <c:pt idx="31">
                  <c:v>13</c:v>
                </c:pt>
                <c:pt idx="32">
                  <c:v>14</c:v>
                </c:pt>
                <c:pt idx="33">
                  <c:v>13</c:v>
                </c:pt>
                <c:pt idx="34">
                  <c:v>14</c:v>
                </c:pt>
              </c:numCache>
            </c:numRef>
          </c:xVal>
          <c:yVal>
            <c:numRef>
              <c:f>'WOMEN -Overall 10 yr'!$G$9:$G$43</c:f>
              <c:numCache>
                <c:formatCode>General</c:formatCode>
                <c:ptCount val="35"/>
                <c:pt idx="0">
                  <c:v>1966.2</c:v>
                </c:pt>
                <c:pt idx="1">
                  <c:v>1912.7</c:v>
                </c:pt>
                <c:pt idx="2">
                  <c:v>1838.7</c:v>
                </c:pt>
                <c:pt idx="3">
                  <c:v>1832.8</c:v>
                </c:pt>
                <c:pt idx="4">
                  <c:v>1774.9</c:v>
                </c:pt>
                <c:pt idx="5">
                  <c:v>1680.1</c:v>
                </c:pt>
                <c:pt idx="6">
                  <c:v>1677.8</c:v>
                </c:pt>
                <c:pt idx="7">
                  <c:v>1651.2</c:v>
                </c:pt>
                <c:pt idx="8">
                  <c:v>1649.6</c:v>
                </c:pt>
                <c:pt idx="9">
                  <c:v>1640.2</c:v>
                </c:pt>
                <c:pt idx="10">
                  <c:v>1617.5</c:v>
                </c:pt>
                <c:pt idx="11">
                  <c:v>1617.3</c:v>
                </c:pt>
                <c:pt idx="12">
                  <c:v>1615.2</c:v>
                </c:pt>
                <c:pt idx="13">
                  <c:v>1608.8</c:v>
                </c:pt>
                <c:pt idx="14">
                  <c:v>1607.1</c:v>
                </c:pt>
                <c:pt idx="15">
                  <c:v>1584.2</c:v>
                </c:pt>
                <c:pt idx="16">
                  <c:v>1578.1</c:v>
                </c:pt>
                <c:pt idx="17">
                  <c:v>1577</c:v>
                </c:pt>
                <c:pt idx="18">
                  <c:v>1574.7</c:v>
                </c:pt>
                <c:pt idx="19">
                  <c:v>1565.1</c:v>
                </c:pt>
                <c:pt idx="20">
                  <c:v>1552.8</c:v>
                </c:pt>
                <c:pt idx="21">
                  <c:v>1549.8</c:v>
                </c:pt>
                <c:pt idx="22">
                  <c:v>1545.3</c:v>
                </c:pt>
                <c:pt idx="23">
                  <c:v>1543.1</c:v>
                </c:pt>
                <c:pt idx="24">
                  <c:v>1526.5</c:v>
                </c:pt>
                <c:pt idx="25">
                  <c:v>1526.3</c:v>
                </c:pt>
                <c:pt idx="26">
                  <c:v>1525.7</c:v>
                </c:pt>
                <c:pt idx="27">
                  <c:v>1520.6</c:v>
                </c:pt>
                <c:pt idx="28">
                  <c:v>1513.5</c:v>
                </c:pt>
                <c:pt idx="29">
                  <c:v>1508.6</c:v>
                </c:pt>
                <c:pt idx="30">
                  <c:v>1491.3</c:v>
                </c:pt>
                <c:pt idx="31">
                  <c:v>1476.7</c:v>
                </c:pt>
                <c:pt idx="32">
                  <c:v>1504.4</c:v>
                </c:pt>
                <c:pt idx="33">
                  <c:v>1491.6</c:v>
                </c:pt>
                <c:pt idx="34">
                  <c:v>1443.9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B1-49CD-A30F-D8DD313E4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Fights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WHR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Division Strength (Avg &amp; Max Score)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'WOMEN -Overall 10 yr'!$R$8</c:f>
              <c:strCache>
                <c:ptCount val="1"/>
                <c:pt idx="0">
                  <c:v>Avg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'WOMEN -Overall 10 yr'!$Q$9:$Q$11</c:f>
              <c:strCache>
                <c:ptCount val="3"/>
                <c:pt idx="0">
                  <c:v>Women's Bantamweight</c:v>
                </c:pt>
                <c:pt idx="1">
                  <c:v>Women's Flyweight</c:v>
                </c:pt>
                <c:pt idx="2">
                  <c:v>Women's Strawweight</c:v>
                </c:pt>
              </c:strCache>
            </c:strRef>
          </c:cat>
          <c:val>
            <c:numRef>
              <c:f>'WOMEN -Overall 10 yr'!$R$9:$R$11</c:f>
              <c:numCache>
                <c:formatCode>0.0</c:formatCode>
                <c:ptCount val="3"/>
                <c:pt idx="0">
                  <c:v>1598.4454545454544</c:v>
                </c:pt>
                <c:pt idx="1">
                  <c:v>1606.0625</c:v>
                </c:pt>
                <c:pt idx="2">
                  <c:v>1616.1187499999999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5-46EF-B5A4-4087EF6ED476}"/>
            </c:ext>
          </c:extLst>
        </c:ser>
        <c:ser>
          <c:idx val="1"/>
          <c:order val="1"/>
          <c:tx>
            <c:strRef>
              <c:f>'WOMEN -Overall 10 yr'!$S$8</c:f>
              <c:strCache>
                <c:ptCount val="1"/>
                <c:pt idx="0">
                  <c:v>Max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'WOMEN -Overall 10 yr'!$Q$9:$Q$11</c:f>
              <c:strCache>
                <c:ptCount val="3"/>
                <c:pt idx="0">
                  <c:v>Women's Bantamweight</c:v>
                </c:pt>
                <c:pt idx="1">
                  <c:v>Women's Flyweight</c:v>
                </c:pt>
                <c:pt idx="2">
                  <c:v>Women's Strawweight</c:v>
                </c:pt>
              </c:strCache>
            </c:strRef>
          </c:cat>
          <c:val>
            <c:numRef>
              <c:f>'WOMEN -Overall 10 yr'!$S$9:$S$11</c:f>
              <c:numCache>
                <c:formatCode>0.0</c:formatCode>
                <c:ptCount val="3"/>
                <c:pt idx="0">
                  <c:v>1966.2</c:v>
                </c:pt>
                <c:pt idx="1">
                  <c:v>1912.7</c:v>
                </c:pt>
                <c:pt idx="2">
                  <c:v>1838.7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F5-46EF-B5A4-4087EF6ED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Score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Division Strength (Avg &amp; Max WHR)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'WOMEN -Divisional WHR'!$M$8</c:f>
              <c:strCache>
                <c:ptCount val="1"/>
                <c:pt idx="0">
                  <c:v>Avg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'WOMEN -Divisional WHR'!$L$9:$L$11</c:f>
              <c:strCache>
                <c:ptCount val="3"/>
                <c:pt idx="0">
                  <c:v>Women's Strawweight</c:v>
                </c:pt>
                <c:pt idx="1">
                  <c:v>Women's Flyweight</c:v>
                </c:pt>
                <c:pt idx="2">
                  <c:v>Women's Bantamweight</c:v>
                </c:pt>
              </c:strCache>
            </c:strRef>
          </c:cat>
          <c:val>
            <c:numRef>
              <c:f>'WOMEN -Divisional WHR'!$M$9:$M$11</c:f>
              <c:numCache>
                <c:formatCode>0.0</c:formatCode>
                <c:ptCount val="3"/>
                <c:pt idx="0">
                  <c:v>1590.1315789473683</c:v>
                </c:pt>
                <c:pt idx="1">
                  <c:v>1546.6071428571431</c:v>
                </c:pt>
                <c:pt idx="2">
                  <c:v>1593.5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5-4077-A834-60E3E644EF2F}"/>
            </c:ext>
          </c:extLst>
        </c:ser>
        <c:ser>
          <c:idx val="1"/>
          <c:order val="1"/>
          <c:tx>
            <c:strRef>
              <c:f>'WOMEN -Divisional WHR'!$N$8</c:f>
              <c:strCache>
                <c:ptCount val="1"/>
                <c:pt idx="0">
                  <c:v>Max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'WOMEN -Divisional WHR'!$L$9:$L$11</c:f>
              <c:strCache>
                <c:ptCount val="3"/>
                <c:pt idx="0">
                  <c:v>Women's Strawweight</c:v>
                </c:pt>
                <c:pt idx="1">
                  <c:v>Women's Flyweight</c:v>
                </c:pt>
                <c:pt idx="2">
                  <c:v>Women's Bantamweight</c:v>
                </c:pt>
              </c:strCache>
            </c:strRef>
          </c:cat>
          <c:val>
            <c:numRef>
              <c:f>'WOMEN -Divisional WHR'!$N$9:$N$11</c:f>
              <c:numCache>
                <c:formatCode>0.0</c:formatCode>
                <c:ptCount val="3"/>
                <c:pt idx="0">
                  <c:v>1838.7</c:v>
                </c:pt>
                <c:pt idx="1">
                  <c:v>1912.7</c:v>
                </c:pt>
                <c:pt idx="2">
                  <c:v>1966.2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D5-4077-A834-60E3E644E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Score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Division Depth (Fighter Count)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'WOMEN -Divisional WHR'!$O$8</c:f>
              <c:strCache>
                <c:ptCount val="1"/>
                <c:pt idx="0">
                  <c:v>Fighters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'WOMEN -Divisional WHR'!$L$9:$L$11</c:f>
              <c:strCache>
                <c:ptCount val="3"/>
                <c:pt idx="0">
                  <c:v>Women's Strawweight</c:v>
                </c:pt>
                <c:pt idx="1">
                  <c:v>Women's Flyweight</c:v>
                </c:pt>
                <c:pt idx="2">
                  <c:v>Women's Bantamweight</c:v>
                </c:pt>
              </c:strCache>
            </c:strRef>
          </c:cat>
          <c:val>
            <c:numRef>
              <c:f>'WOMEN -Divisional WHR'!$O$9:$O$11</c:f>
              <c:numCache>
                <c:formatCode>General</c:formatCode>
                <c:ptCount val="3"/>
                <c:pt idx="0">
                  <c:v>19</c:v>
                </c:pt>
                <c:pt idx="1">
                  <c:v>14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4-4A79-82B2-6C8CC7242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Fighters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Fights vs WHR Score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WHR Score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'WOMEN -Divisional WHR'!$F$9:$F$54</c:f>
              <c:numCache>
                <c:formatCode>General</c:formatCode>
                <c:ptCount val="46"/>
                <c:pt idx="0">
                  <c:v>13</c:v>
                </c:pt>
                <c:pt idx="1">
                  <c:v>15</c:v>
                </c:pt>
                <c:pt idx="2">
                  <c:v>19</c:v>
                </c:pt>
                <c:pt idx="3">
                  <c:v>16</c:v>
                </c:pt>
                <c:pt idx="4">
                  <c:v>30</c:v>
                </c:pt>
                <c:pt idx="5">
                  <c:v>13</c:v>
                </c:pt>
                <c:pt idx="6">
                  <c:v>13</c:v>
                </c:pt>
                <c:pt idx="7">
                  <c:v>16</c:v>
                </c:pt>
                <c:pt idx="8">
                  <c:v>15</c:v>
                </c:pt>
                <c:pt idx="9">
                  <c:v>19</c:v>
                </c:pt>
                <c:pt idx="10">
                  <c:v>15</c:v>
                </c:pt>
                <c:pt idx="11">
                  <c:v>19</c:v>
                </c:pt>
                <c:pt idx="12">
                  <c:v>13</c:v>
                </c:pt>
                <c:pt idx="13">
                  <c:v>15</c:v>
                </c:pt>
                <c:pt idx="14">
                  <c:v>15</c:v>
                </c:pt>
                <c:pt idx="15">
                  <c:v>29</c:v>
                </c:pt>
                <c:pt idx="16">
                  <c:v>13</c:v>
                </c:pt>
                <c:pt idx="17">
                  <c:v>18</c:v>
                </c:pt>
                <c:pt idx="18">
                  <c:v>15</c:v>
                </c:pt>
                <c:pt idx="19">
                  <c:v>19</c:v>
                </c:pt>
                <c:pt idx="20">
                  <c:v>15</c:v>
                </c:pt>
                <c:pt idx="21">
                  <c:v>13</c:v>
                </c:pt>
                <c:pt idx="22">
                  <c:v>17</c:v>
                </c:pt>
                <c:pt idx="23">
                  <c:v>20</c:v>
                </c:pt>
                <c:pt idx="24">
                  <c:v>13</c:v>
                </c:pt>
                <c:pt idx="25">
                  <c:v>17</c:v>
                </c:pt>
                <c:pt idx="26">
                  <c:v>15</c:v>
                </c:pt>
                <c:pt idx="27">
                  <c:v>17</c:v>
                </c:pt>
                <c:pt idx="28">
                  <c:v>15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13</c:v>
                </c:pt>
                <c:pt idx="33">
                  <c:v>18</c:v>
                </c:pt>
                <c:pt idx="34">
                  <c:v>12</c:v>
                </c:pt>
                <c:pt idx="35">
                  <c:v>19</c:v>
                </c:pt>
                <c:pt idx="36">
                  <c:v>15</c:v>
                </c:pt>
                <c:pt idx="37">
                  <c:v>14</c:v>
                </c:pt>
                <c:pt idx="38">
                  <c:v>14</c:v>
                </c:pt>
                <c:pt idx="39">
                  <c:v>14</c:v>
                </c:pt>
                <c:pt idx="40">
                  <c:v>13</c:v>
                </c:pt>
                <c:pt idx="41">
                  <c:v>13</c:v>
                </c:pt>
                <c:pt idx="42">
                  <c:v>14</c:v>
                </c:pt>
                <c:pt idx="43">
                  <c:v>14</c:v>
                </c:pt>
                <c:pt idx="44">
                  <c:v>13</c:v>
                </c:pt>
                <c:pt idx="45">
                  <c:v>13</c:v>
                </c:pt>
              </c:numCache>
            </c:numRef>
          </c:xVal>
          <c:yVal>
            <c:numRef>
              <c:f>'WOMEN -Divisional WHR'!$G$9:$G$54</c:f>
              <c:numCache>
                <c:formatCode>General</c:formatCode>
                <c:ptCount val="46"/>
                <c:pt idx="0">
                  <c:v>1838.7</c:v>
                </c:pt>
                <c:pt idx="1">
                  <c:v>1832.8</c:v>
                </c:pt>
                <c:pt idx="2">
                  <c:v>1774.9</c:v>
                </c:pt>
                <c:pt idx="3">
                  <c:v>1680.1</c:v>
                </c:pt>
                <c:pt idx="4">
                  <c:v>1677.8</c:v>
                </c:pt>
                <c:pt idx="5">
                  <c:v>1617.5</c:v>
                </c:pt>
                <c:pt idx="6">
                  <c:v>1608.8</c:v>
                </c:pt>
                <c:pt idx="7">
                  <c:v>1607.1</c:v>
                </c:pt>
                <c:pt idx="8">
                  <c:v>1577</c:v>
                </c:pt>
                <c:pt idx="9">
                  <c:v>1552.8</c:v>
                </c:pt>
                <c:pt idx="10">
                  <c:v>1549.8</c:v>
                </c:pt>
                <c:pt idx="11">
                  <c:v>1526.3</c:v>
                </c:pt>
                <c:pt idx="12">
                  <c:v>1525.7</c:v>
                </c:pt>
                <c:pt idx="13">
                  <c:v>1520.6</c:v>
                </c:pt>
                <c:pt idx="14">
                  <c:v>1491.3</c:v>
                </c:pt>
                <c:pt idx="15">
                  <c:v>1478.5</c:v>
                </c:pt>
                <c:pt idx="16">
                  <c:v>1476.7</c:v>
                </c:pt>
                <c:pt idx="17">
                  <c:v>1460.7</c:v>
                </c:pt>
                <c:pt idx="18">
                  <c:v>1415.4</c:v>
                </c:pt>
                <c:pt idx="19">
                  <c:v>1912.7</c:v>
                </c:pt>
                <c:pt idx="20">
                  <c:v>1649.6</c:v>
                </c:pt>
                <c:pt idx="21">
                  <c:v>1617.3</c:v>
                </c:pt>
                <c:pt idx="22">
                  <c:v>1615.2</c:v>
                </c:pt>
                <c:pt idx="23">
                  <c:v>1574.7</c:v>
                </c:pt>
                <c:pt idx="24">
                  <c:v>1526.5</c:v>
                </c:pt>
                <c:pt idx="25">
                  <c:v>1508.6</c:v>
                </c:pt>
                <c:pt idx="26">
                  <c:v>1502.8</c:v>
                </c:pt>
                <c:pt idx="27">
                  <c:v>1500.6</c:v>
                </c:pt>
                <c:pt idx="28">
                  <c:v>1489.2</c:v>
                </c:pt>
                <c:pt idx="29">
                  <c:v>1456.7</c:v>
                </c:pt>
                <c:pt idx="30">
                  <c:v>1443.9</c:v>
                </c:pt>
                <c:pt idx="31">
                  <c:v>1442.9</c:v>
                </c:pt>
                <c:pt idx="32">
                  <c:v>1411.8</c:v>
                </c:pt>
                <c:pt idx="33">
                  <c:v>1966.2</c:v>
                </c:pt>
                <c:pt idx="34">
                  <c:v>1677.2</c:v>
                </c:pt>
                <c:pt idx="35">
                  <c:v>1651.2</c:v>
                </c:pt>
                <c:pt idx="36">
                  <c:v>1640.2</c:v>
                </c:pt>
                <c:pt idx="37">
                  <c:v>1584.2</c:v>
                </c:pt>
                <c:pt idx="38">
                  <c:v>1578.1</c:v>
                </c:pt>
                <c:pt idx="39">
                  <c:v>1565.1</c:v>
                </c:pt>
                <c:pt idx="40">
                  <c:v>1545.3</c:v>
                </c:pt>
                <c:pt idx="41">
                  <c:v>1543.1</c:v>
                </c:pt>
                <c:pt idx="42">
                  <c:v>1513.5</c:v>
                </c:pt>
                <c:pt idx="43">
                  <c:v>1504.4</c:v>
                </c:pt>
                <c:pt idx="44">
                  <c:v>1491.6</c:v>
                </c:pt>
                <c:pt idx="45">
                  <c:v>1455.4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EB-4E40-A9C0-E3C762249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Fights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WHR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Metric Disagreement: z WHR Score vs z Method I+P Score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z Method I+P Score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'WOMEN -Overall 5 yr'!$J$9:$J$44</c:f>
              <c:numCache>
                <c:formatCode>0.00</c:formatCode>
                <c:ptCount val="36"/>
                <c:pt idx="0">
                  <c:v>2.9891162917638905</c:v>
                </c:pt>
                <c:pt idx="1">
                  <c:v>2.3138972347278646</c:v>
                </c:pt>
                <c:pt idx="2">
                  <c:v>1.7444236909345483</c:v>
                </c:pt>
                <c:pt idx="3">
                  <c:v>1.6454691739551301</c:v>
                </c:pt>
                <c:pt idx="4">
                  <c:v>1.5106193910125894</c:v>
                </c:pt>
                <c:pt idx="5">
                  <c:v>0.9799515401523804</c:v>
                </c:pt>
                <c:pt idx="6">
                  <c:v>0.61420788425786532</c:v>
                </c:pt>
                <c:pt idx="7">
                  <c:v>0.60353631870126023</c:v>
                </c:pt>
                <c:pt idx="8">
                  <c:v>0.46868653575872166</c:v>
                </c:pt>
                <c:pt idx="9">
                  <c:v>0.20286753916695155</c:v>
                </c:pt>
                <c:pt idx="10">
                  <c:v>0.19898696987364237</c:v>
                </c:pt>
                <c:pt idx="11">
                  <c:v>0.18540497734705474</c:v>
                </c:pt>
                <c:pt idx="12">
                  <c:v>8.3540033397654131E-2</c:v>
                </c:pt>
                <c:pt idx="13">
                  <c:v>2.5331493997996644E-2</c:v>
                </c:pt>
                <c:pt idx="14">
                  <c:v>-6.8772311364783414E-2</c:v>
                </c:pt>
                <c:pt idx="15">
                  <c:v>-0.15608512046426964</c:v>
                </c:pt>
                <c:pt idx="16">
                  <c:v>-0.16675668602087265</c:v>
                </c:pt>
                <c:pt idx="17">
                  <c:v>-0.22011451380389199</c:v>
                </c:pt>
                <c:pt idx="18">
                  <c:v>-0.27153205694025567</c:v>
                </c:pt>
                <c:pt idx="19">
                  <c:v>-0.29093490340680817</c:v>
                </c:pt>
                <c:pt idx="20">
                  <c:v>-0.44615767513922816</c:v>
                </c:pt>
                <c:pt idx="21">
                  <c:v>-0.45876952534248905</c:v>
                </c:pt>
                <c:pt idx="22">
                  <c:v>-0.48496336807233315</c:v>
                </c:pt>
                <c:pt idx="23">
                  <c:v>-0.5810074580817689</c:v>
                </c:pt>
                <c:pt idx="24">
                  <c:v>-0.6547382746546675</c:v>
                </c:pt>
                <c:pt idx="25">
                  <c:v>-0.66832026718125515</c:v>
                </c:pt>
                <c:pt idx="26">
                  <c:v>-0.69257382526444577</c:v>
                </c:pt>
                <c:pt idx="27">
                  <c:v>-0.73526008749086214</c:v>
                </c:pt>
                <c:pt idx="28">
                  <c:v>-0.790558199920535</c:v>
                </c:pt>
                <c:pt idx="29">
                  <c:v>-0.83421460447027806</c:v>
                </c:pt>
                <c:pt idx="30">
                  <c:v>-0.98652694923271567</c:v>
                </c:pt>
                <c:pt idx="31">
                  <c:v>-0.95839282185621588</c:v>
                </c:pt>
                <c:pt idx="32">
                  <c:v>-0.85361745093683061</c:v>
                </c:pt>
                <c:pt idx="33">
                  <c:v>-0.93316912144969633</c:v>
                </c:pt>
                <c:pt idx="34">
                  <c:v>-1.2028686873347756</c:v>
                </c:pt>
                <c:pt idx="35">
                  <c:v>-1.1107051666186512</c:v>
                </c:pt>
              </c:numCache>
            </c:numRef>
          </c:xVal>
          <c:yVal>
            <c:numRef>
              <c:f>'WOMEN -Overall 5 yr'!$L$9:$L$44</c:f>
              <c:numCache>
                <c:formatCode>0.00</c:formatCode>
                <c:ptCount val="36"/>
                <c:pt idx="0">
                  <c:v>2.3065143291660779</c:v>
                </c:pt>
                <c:pt idx="1">
                  <c:v>2.0525000188188769</c:v>
                </c:pt>
                <c:pt idx="2">
                  <c:v>1.6175885237041552</c:v>
                </c:pt>
                <c:pt idx="3">
                  <c:v>0.93137075993036877</c:v>
                </c:pt>
                <c:pt idx="4">
                  <c:v>1.806609833536083</c:v>
                </c:pt>
                <c:pt idx="5">
                  <c:v>1.5726350316810884</c:v>
                </c:pt>
                <c:pt idx="6">
                  <c:v>0.70064560810113763</c:v>
                </c:pt>
                <c:pt idx="7">
                  <c:v>0.51595716497022925</c:v>
                </c:pt>
                <c:pt idx="8">
                  <c:v>0.5484536652278672</c:v>
                </c:pt>
                <c:pt idx="9">
                  <c:v>0.4363407393390174</c:v>
                </c:pt>
                <c:pt idx="10">
                  <c:v>0.6416102992997641</c:v>
                </c:pt>
                <c:pt idx="11">
                  <c:v>0.13087363691722048</c:v>
                </c:pt>
                <c:pt idx="12">
                  <c:v>0.26790054633692678</c:v>
                </c:pt>
                <c:pt idx="13">
                  <c:v>0.2066988041850423</c:v>
                </c:pt>
                <c:pt idx="14">
                  <c:v>-8.468648145844411E-2</c:v>
                </c:pt>
                <c:pt idx="15">
                  <c:v>9.0117609510783018E-3</c:v>
                </c:pt>
                <c:pt idx="16">
                  <c:v>-0.24012807435747904</c:v>
                </c:pt>
                <c:pt idx="17">
                  <c:v>-0.22767108259205143</c:v>
                </c:pt>
                <c:pt idx="18">
                  <c:v>-0.45785462608365335</c:v>
                </c:pt>
                <c:pt idx="19">
                  <c:v>-0.60138083555488742</c:v>
                </c:pt>
                <c:pt idx="20">
                  <c:v>-0.49847525140570076</c:v>
                </c:pt>
                <c:pt idx="21">
                  <c:v>2.9592877780915402E-2</c:v>
                </c:pt>
                <c:pt idx="22">
                  <c:v>-1.144072389857441</c:v>
                </c:pt>
                <c:pt idx="23">
                  <c:v>-0.144805006935075</c:v>
                </c:pt>
                <c:pt idx="24">
                  <c:v>-0.92255457976787525</c:v>
                </c:pt>
                <c:pt idx="25">
                  <c:v>-1.2892234243415568</c:v>
                </c:pt>
                <c:pt idx="26">
                  <c:v>-1.1673615483754145</c:v>
                </c:pt>
                <c:pt idx="27">
                  <c:v>-0.43348225089042491</c:v>
                </c:pt>
                <c:pt idx="28">
                  <c:v>-2.2679096904340854</c:v>
                </c:pt>
                <c:pt idx="29">
                  <c:v>-0.93826122155906744</c:v>
                </c:pt>
                <c:pt idx="30">
                  <c:v>-0.21792213251476031</c:v>
                </c:pt>
                <c:pt idx="31">
                  <c:v>-0.44756406766873419</c:v>
                </c:pt>
                <c:pt idx="32">
                  <c:v>-0.51634832654740137</c:v>
                </c:pt>
                <c:pt idx="33">
                  <c:v>-0.68478851954949072</c:v>
                </c:pt>
                <c:pt idx="34">
                  <c:v>-0.68749656123762726</c:v>
                </c:pt>
                <c:pt idx="35">
                  <c:v>-0.80231752881461471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56-4144-BF03-D91DBF366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z WHR Score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z Method I+P Score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Fights vs WHR Score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WHR Score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'WOMEN -Overall 5 yr'!$F$9:$F$44</c:f>
              <c:numCache>
                <c:formatCode>General</c:formatCode>
                <c:ptCount val="36"/>
                <c:pt idx="0">
                  <c:v>18</c:v>
                </c:pt>
                <c:pt idx="1">
                  <c:v>19</c:v>
                </c:pt>
                <c:pt idx="2">
                  <c:v>15</c:v>
                </c:pt>
                <c:pt idx="3">
                  <c:v>8</c:v>
                </c:pt>
                <c:pt idx="4">
                  <c:v>13</c:v>
                </c:pt>
                <c:pt idx="5">
                  <c:v>19</c:v>
                </c:pt>
                <c:pt idx="6">
                  <c:v>9</c:v>
                </c:pt>
                <c:pt idx="7">
                  <c:v>8</c:v>
                </c:pt>
                <c:pt idx="8">
                  <c:v>9</c:v>
                </c:pt>
                <c:pt idx="9">
                  <c:v>30</c:v>
                </c:pt>
                <c:pt idx="10">
                  <c:v>12</c:v>
                </c:pt>
                <c:pt idx="11">
                  <c:v>10</c:v>
                </c:pt>
                <c:pt idx="12">
                  <c:v>15</c:v>
                </c:pt>
                <c:pt idx="13">
                  <c:v>16</c:v>
                </c:pt>
                <c:pt idx="14">
                  <c:v>19</c:v>
                </c:pt>
                <c:pt idx="15">
                  <c:v>15</c:v>
                </c:pt>
                <c:pt idx="16">
                  <c:v>13</c:v>
                </c:pt>
                <c:pt idx="17">
                  <c:v>13</c:v>
                </c:pt>
                <c:pt idx="18">
                  <c:v>12</c:v>
                </c:pt>
                <c:pt idx="19">
                  <c:v>17</c:v>
                </c:pt>
                <c:pt idx="20">
                  <c:v>16</c:v>
                </c:pt>
                <c:pt idx="21">
                  <c:v>13</c:v>
                </c:pt>
                <c:pt idx="22">
                  <c:v>12</c:v>
                </c:pt>
                <c:pt idx="23">
                  <c:v>15</c:v>
                </c:pt>
                <c:pt idx="24">
                  <c:v>14</c:v>
                </c:pt>
                <c:pt idx="25">
                  <c:v>14</c:v>
                </c:pt>
                <c:pt idx="26">
                  <c:v>20</c:v>
                </c:pt>
                <c:pt idx="27">
                  <c:v>15</c:v>
                </c:pt>
                <c:pt idx="28">
                  <c:v>8</c:v>
                </c:pt>
                <c:pt idx="29">
                  <c:v>12</c:v>
                </c:pt>
                <c:pt idx="30">
                  <c:v>19</c:v>
                </c:pt>
                <c:pt idx="31">
                  <c:v>13</c:v>
                </c:pt>
                <c:pt idx="32">
                  <c:v>14</c:v>
                </c:pt>
                <c:pt idx="33">
                  <c:v>19</c:v>
                </c:pt>
                <c:pt idx="34">
                  <c:v>15</c:v>
                </c:pt>
                <c:pt idx="35">
                  <c:v>13</c:v>
                </c:pt>
              </c:numCache>
            </c:numRef>
          </c:xVal>
          <c:yVal>
            <c:numRef>
              <c:f>'WOMEN -Overall 5 yr'!$G$9:$G$44</c:f>
              <c:numCache>
                <c:formatCode>General</c:formatCode>
                <c:ptCount val="36"/>
                <c:pt idx="0">
                  <c:v>1959.5</c:v>
                </c:pt>
                <c:pt idx="1">
                  <c:v>1889.9</c:v>
                </c:pt>
                <c:pt idx="2">
                  <c:v>1831.2</c:v>
                </c:pt>
                <c:pt idx="3">
                  <c:v>1821</c:v>
                </c:pt>
                <c:pt idx="4">
                  <c:v>1807.1</c:v>
                </c:pt>
                <c:pt idx="5">
                  <c:v>1752.4</c:v>
                </c:pt>
                <c:pt idx="6">
                  <c:v>1714.7</c:v>
                </c:pt>
                <c:pt idx="7">
                  <c:v>1713.6</c:v>
                </c:pt>
                <c:pt idx="8">
                  <c:v>1699.7</c:v>
                </c:pt>
                <c:pt idx="9">
                  <c:v>1672.3</c:v>
                </c:pt>
                <c:pt idx="10">
                  <c:v>1671.9</c:v>
                </c:pt>
                <c:pt idx="11">
                  <c:v>1670.5</c:v>
                </c:pt>
                <c:pt idx="12">
                  <c:v>1660</c:v>
                </c:pt>
                <c:pt idx="13">
                  <c:v>1654</c:v>
                </c:pt>
                <c:pt idx="14">
                  <c:v>1644.3</c:v>
                </c:pt>
                <c:pt idx="15">
                  <c:v>1635.3</c:v>
                </c:pt>
                <c:pt idx="16">
                  <c:v>1634.2</c:v>
                </c:pt>
                <c:pt idx="17">
                  <c:v>1628.7</c:v>
                </c:pt>
                <c:pt idx="18">
                  <c:v>1623.4</c:v>
                </c:pt>
                <c:pt idx="19">
                  <c:v>1621.4</c:v>
                </c:pt>
                <c:pt idx="20">
                  <c:v>1605.4</c:v>
                </c:pt>
                <c:pt idx="21">
                  <c:v>1604.1</c:v>
                </c:pt>
                <c:pt idx="22">
                  <c:v>1601.4</c:v>
                </c:pt>
                <c:pt idx="23">
                  <c:v>1591.5</c:v>
                </c:pt>
                <c:pt idx="24">
                  <c:v>1583.9</c:v>
                </c:pt>
                <c:pt idx="25">
                  <c:v>1582.5</c:v>
                </c:pt>
                <c:pt idx="26">
                  <c:v>1580</c:v>
                </c:pt>
                <c:pt idx="27">
                  <c:v>1575.6</c:v>
                </c:pt>
                <c:pt idx="28">
                  <c:v>1569.9</c:v>
                </c:pt>
                <c:pt idx="29">
                  <c:v>1565.4</c:v>
                </c:pt>
                <c:pt idx="30">
                  <c:v>1549.7</c:v>
                </c:pt>
                <c:pt idx="31">
                  <c:v>1552.6</c:v>
                </c:pt>
                <c:pt idx="32">
                  <c:v>1563.4</c:v>
                </c:pt>
                <c:pt idx="33">
                  <c:v>1555.2</c:v>
                </c:pt>
                <c:pt idx="34">
                  <c:v>1527.4</c:v>
                </c:pt>
                <c:pt idx="35">
                  <c:v>1536.9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9D-48DA-B19F-F57C83956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Fights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WHR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Division Strength (Avg &amp; Max Score)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'WOMEN -Overall 5 yr'!$R$8</c:f>
              <c:strCache>
                <c:ptCount val="1"/>
                <c:pt idx="0">
                  <c:v>Avg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'WOMEN -Overall 5 yr'!$Q$9:$Q$12</c:f>
              <c:strCache>
                <c:ptCount val="4"/>
                <c:pt idx="0">
                  <c:v>Women's Bantamweight</c:v>
                </c:pt>
                <c:pt idx="1">
                  <c:v>Women's Flyweight</c:v>
                </c:pt>
                <c:pt idx="2">
                  <c:v>Women's Strawweight</c:v>
                </c:pt>
                <c:pt idx="3">
                  <c:v>Women's Featherweight</c:v>
                </c:pt>
              </c:strCache>
            </c:strRef>
          </c:cat>
          <c:val>
            <c:numRef>
              <c:f>'WOMEN -Overall 5 yr'!$R$9:$R$12</c:f>
              <c:numCache>
                <c:formatCode>0.0</c:formatCode>
                <c:ptCount val="4"/>
                <c:pt idx="0">
                  <c:v>1681.3666666666663</c:v>
                </c:pt>
                <c:pt idx="1">
                  <c:v>1678.8222222222223</c:v>
                </c:pt>
                <c:pt idx="2">
                  <c:v>1622.6411764705886</c:v>
                </c:pt>
                <c:pt idx="3">
                  <c:v>1623.4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C2-43B9-927E-D9E0EE88901A}"/>
            </c:ext>
          </c:extLst>
        </c:ser>
        <c:ser>
          <c:idx val="1"/>
          <c:order val="1"/>
          <c:tx>
            <c:strRef>
              <c:f>'WOMEN -Overall 5 yr'!$S$8</c:f>
              <c:strCache>
                <c:ptCount val="1"/>
                <c:pt idx="0">
                  <c:v>Max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'WOMEN -Overall 5 yr'!$Q$9:$Q$12</c:f>
              <c:strCache>
                <c:ptCount val="4"/>
                <c:pt idx="0">
                  <c:v>Women's Bantamweight</c:v>
                </c:pt>
                <c:pt idx="1">
                  <c:v>Women's Flyweight</c:v>
                </c:pt>
                <c:pt idx="2">
                  <c:v>Women's Strawweight</c:v>
                </c:pt>
                <c:pt idx="3">
                  <c:v>Women's Featherweight</c:v>
                </c:pt>
              </c:strCache>
            </c:strRef>
          </c:cat>
          <c:val>
            <c:numRef>
              <c:f>'WOMEN -Overall 5 yr'!$S$9:$S$12</c:f>
              <c:numCache>
                <c:formatCode>0.0</c:formatCode>
                <c:ptCount val="4"/>
                <c:pt idx="0">
                  <c:v>1959.5</c:v>
                </c:pt>
                <c:pt idx="1">
                  <c:v>1889.9</c:v>
                </c:pt>
                <c:pt idx="2">
                  <c:v>1831.2</c:v>
                </c:pt>
                <c:pt idx="3">
                  <c:v>1623.4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C2-43B9-927E-D9E0EE889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Score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18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19</xdr:col>
      <xdr:colOff>560295</xdr:colOff>
      <xdr:row>34</xdr:row>
      <xdr:rowOff>22410</xdr:rowOff>
    </xdr:from>
    <xdr:ext cx="5677323" cy="316005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19</xdr:col>
      <xdr:colOff>0</xdr:colOff>
      <xdr:row>52</xdr:row>
      <xdr:rowOff>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25</xdr:col>
      <xdr:colOff>0</xdr:colOff>
      <xdr:row>30</xdr:row>
      <xdr:rowOff>0</xdr:rowOff>
    </xdr:from>
    <xdr:ext cx="792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25</xdr:col>
      <xdr:colOff>0</xdr:colOff>
      <xdr:row>49</xdr:row>
      <xdr:rowOff>0</xdr:rowOff>
    </xdr:from>
    <xdr:ext cx="7920000" cy="32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25</xdr:col>
      <xdr:colOff>0</xdr:colOff>
      <xdr:row>68</xdr:row>
      <xdr:rowOff>0</xdr:rowOff>
    </xdr:from>
    <xdr:ext cx="5760000" cy="39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18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0</xdr:colOff>
      <xdr:row>35</xdr:row>
      <xdr:rowOff>0</xdr:rowOff>
    </xdr:from>
    <xdr:ext cx="46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0</xdr:colOff>
      <xdr:row>52</xdr:row>
      <xdr:rowOff>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22</xdr:col>
      <xdr:colOff>0</xdr:colOff>
      <xdr:row>30</xdr:row>
      <xdr:rowOff>0</xdr:rowOff>
    </xdr:from>
    <xdr:ext cx="792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22</xdr:col>
      <xdr:colOff>0</xdr:colOff>
      <xdr:row>49</xdr:row>
      <xdr:rowOff>0</xdr:rowOff>
    </xdr:from>
    <xdr:ext cx="7920000" cy="32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22</xdr:col>
      <xdr:colOff>0</xdr:colOff>
      <xdr:row>68</xdr:row>
      <xdr:rowOff>0</xdr:rowOff>
    </xdr:from>
    <xdr:ext cx="5760000" cy="39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18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35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52</xdr:row>
      <xdr:rowOff>0</xdr:rowOff>
    </xdr:from>
    <xdr:ext cx="468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13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0</xdr:colOff>
      <xdr:row>30</xdr:row>
      <xdr:rowOff>0</xdr:rowOff>
    </xdr:from>
    <xdr:ext cx="46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0</xdr:colOff>
      <xdr:row>47</xdr:row>
      <xdr:rowOff>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30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47</xdr:row>
      <xdr:rowOff>0</xdr:rowOff>
    </xdr:from>
    <xdr:ext cx="468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14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0</xdr:colOff>
      <xdr:row>31</xdr:row>
      <xdr:rowOff>0</xdr:rowOff>
    </xdr:from>
    <xdr:ext cx="46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0</xdr:colOff>
      <xdr:row>48</xdr:row>
      <xdr:rowOff>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6" displayName="Table26" ref="D8:R46" totalsRowShown="0" headerRowDxfId="14" dataDxfId="13">
  <autoFilter ref="D8:R46" xr:uid="{00000000-0009-0000-0100-000001000000}"/>
  <sortState xmlns:xlrd2="http://schemas.microsoft.com/office/spreadsheetml/2017/richdata2" ref="D9:N46">
    <sortCondition descending="1" ref="M8:M46"/>
  </sortState>
  <tableColumns count="15">
    <tableColumn id="1" xr3:uid="{00000000-0010-0000-0000-000001000000}" name="Fighter"/>
    <tableColumn id="2" xr3:uid="{00000000-0010-0000-0000-000002000000}" name="Division" dataDxfId="12"/>
    <tableColumn id="3" xr3:uid="{00000000-0010-0000-0000-000003000000}" name="Fights"/>
    <tableColumn id="4" xr3:uid="{00000000-0010-0000-0000-000004000000}" name="WHR Score" dataDxfId="11"/>
    <tableColumn id="5" xr3:uid="{00000000-0010-0000-0000-000005000000}" name="WHR I+P Score" dataDxfId="10"/>
    <tableColumn id="6" xr3:uid="{00000000-0010-0000-0000-000006000000}" name="Method I+P Score" dataDxfId="9"/>
    <tableColumn id="7" xr3:uid="{00000000-0010-0000-0000-000007000000}" name="Canonical Score" dataDxfId="8"/>
    <tableColumn id="8" xr3:uid="{00000000-0010-0000-0000-000008000000}" name="z-Score WHR" dataDxfId="7">
      <calculatedColumnFormula>(Table26[[#This Row],[WHR Score]]-AVERAGE(Table26[WHR Score]))/STDEV(Table26[WHR Score])</calculatedColumnFormula>
    </tableColumn>
    <tableColumn id="9" xr3:uid="{00000000-0010-0000-0000-000009000000}" name="z-Score WHR I+P" dataDxfId="6">
      <calculatedColumnFormula>(Table26[[#This Row],[WHR I+P Score]]-AVERAGE(Table26[WHR I+P Score]))/STDEV(Table26[WHR I+P Score])</calculatedColumnFormula>
    </tableColumn>
    <tableColumn id="10" xr3:uid="{00000000-0010-0000-0000-00000A000000}" name="z-Method I+P" dataDxfId="5">
      <calculatedColumnFormula>(Table26[[#This Row],[Method I+P Score]]-AVERAGE(Table26[Method I+P Score]))/STDEV(Table26[Method I+P Score])</calculatedColumnFormula>
    </tableColumn>
    <tableColumn id="11" xr3:uid="{00000000-0010-0000-0000-00000B000000}" name="z-Canonical Glicko2" dataDxfId="4">
      <calculatedColumnFormula>(Table26[[#This Row],[Canonical Score]]-AVERAGE(Table26[Canonical Score]))/STDEV(Table26[Canonical Score])</calculatedColumnFormula>
    </tableColumn>
    <tableColumn id="12" xr3:uid="{00000000-0010-0000-0000-00000C000000}" name="Rank WHR" dataDxfId="3">
      <calculatedColumnFormula>RANK(Table26[[#This Row],[WHR Score]],Table26[WHR Score],1)</calculatedColumnFormula>
    </tableColumn>
    <tableColumn id="13" xr3:uid="{00000000-0010-0000-0000-00000D000000}" name="Rank WHR I+P" dataDxfId="2">
      <calculatedColumnFormula>RANK(Table26[[#This Row],[WHR I+P Score]],Table26[WHR I+P Score],1)</calculatedColumnFormula>
    </tableColumn>
    <tableColumn id="14" xr3:uid="{00000000-0010-0000-0000-00000E000000}" name="Rank Method I+P" dataDxfId="1">
      <calculatedColumnFormula>RANK(Table26[[#This Row],[Method I+P Score]],Table26[Method I+P Score],1)</calculatedColumnFormula>
    </tableColumn>
    <tableColumn id="15" xr3:uid="{00000000-0010-0000-0000-00000F000000}" name="Rank Canonical" dataDxfId="0">
      <calculatedColumnFormula>RANK(Table26[[#This Row],[Canonical Score]],Table26[Canonical Score],1)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Men5yr" displayName="TableMen5yr" ref="D8:O47">
  <autoFilter ref="D8:O47" xr:uid="{00000000-0009-0000-0100-000002000000}"/>
  <tableColumns count="12">
    <tableColumn id="4" xr3:uid="{00000000-0010-0000-0100-000004000000}" name="Fighter"/>
    <tableColumn id="5" xr3:uid="{00000000-0010-0000-0100-000005000000}" name="Division"/>
    <tableColumn id="6" xr3:uid="{00000000-0010-0000-0100-000006000000}" name="Fights"/>
    <tableColumn id="7" xr3:uid="{00000000-0010-0000-0100-000007000000}" name="WHR Score"/>
    <tableColumn id="8" xr3:uid="{00000000-0010-0000-0100-000008000000}" name="WHR I+P Score"/>
    <tableColumn id="9" xr3:uid="{00000000-0010-0000-0100-000009000000}" name="Method I+P Score"/>
    <tableColumn id="10" xr3:uid="{00000000-0010-0000-0100-00000A000000}" name="z WHR Score"/>
    <tableColumn id="11" xr3:uid="{00000000-0010-0000-0100-00000B000000}" name="z WHR I+P Score"/>
    <tableColumn id="12" xr3:uid="{00000000-0010-0000-0100-00000C000000}" name="z Method I+P Score"/>
    <tableColumn id="13" xr3:uid="{00000000-0010-0000-0100-00000D000000}" name="Rank WHR Score"/>
    <tableColumn id="14" xr3:uid="{00000000-0010-0000-0100-00000E000000}" name="Rank WHR I+P Score"/>
    <tableColumn id="15" xr3:uid="{00000000-0010-0000-0100-00000F000000}" name="Rank Method I+P Scor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MenDiv" displayName="TableMenDiv" ref="D8:J235">
  <autoFilter ref="D8:J235" xr:uid="{00000000-0009-0000-0100-000003000000}"/>
  <tableColumns count="7">
    <tableColumn id="4" xr3:uid="{00000000-0010-0000-0200-000004000000}" name="Fighter"/>
    <tableColumn id="5" xr3:uid="{00000000-0010-0000-0200-000005000000}" name="Division"/>
    <tableColumn id="6" xr3:uid="{00000000-0010-0000-0200-000006000000}" name="Fights"/>
    <tableColumn id="7" xr3:uid="{00000000-0010-0000-0200-000007000000}" name="WHR Score"/>
    <tableColumn id="8" xr3:uid="{00000000-0010-0000-0200-000008000000}" name="z WHR Score"/>
    <tableColumn id="9" xr3:uid="{00000000-0010-0000-0200-000009000000}" name="Rank WHR Score"/>
    <tableColumn id="10" xr3:uid="{00000000-0010-0000-0200-00000A000000}" name="Division Rank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Women10yr" displayName="TableWomen10yr" ref="D8:O43">
  <autoFilter ref="D8:O43" xr:uid="{00000000-0009-0000-0100-000004000000}"/>
  <tableColumns count="12">
    <tableColumn id="4" xr3:uid="{00000000-0010-0000-0300-000004000000}" name="Fighter"/>
    <tableColumn id="5" xr3:uid="{00000000-0010-0000-0300-000005000000}" name="Division"/>
    <tableColumn id="6" xr3:uid="{00000000-0010-0000-0300-000006000000}" name="Fights"/>
    <tableColumn id="7" xr3:uid="{00000000-0010-0000-0300-000007000000}" name="WHR Score"/>
    <tableColumn id="8" xr3:uid="{00000000-0010-0000-0300-000008000000}" name="WHR I+P Score"/>
    <tableColumn id="9" xr3:uid="{00000000-0010-0000-0300-000009000000}" name="Method I+P Score"/>
    <tableColumn id="10" xr3:uid="{00000000-0010-0000-0300-00000A000000}" name="z WHR Score"/>
    <tableColumn id="11" xr3:uid="{00000000-0010-0000-0300-00000B000000}" name="z WHR I+P Score"/>
    <tableColumn id="12" xr3:uid="{00000000-0010-0000-0300-00000C000000}" name="z Method I+P Score"/>
    <tableColumn id="13" xr3:uid="{00000000-0010-0000-0300-00000D000000}" name="Rank WHR Score"/>
    <tableColumn id="14" xr3:uid="{00000000-0010-0000-0300-00000E000000}" name="Rank WHR I+P Score"/>
    <tableColumn id="15" xr3:uid="{00000000-0010-0000-0300-00000F000000}" name="Rank Method I+P Scor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WomenDiv" displayName="TableWomenDiv" ref="D8:J54">
  <autoFilter ref="D8:J54" xr:uid="{00000000-0009-0000-0100-000005000000}"/>
  <tableColumns count="7">
    <tableColumn id="4" xr3:uid="{00000000-0010-0000-0400-000004000000}" name="Fighter"/>
    <tableColumn id="5" xr3:uid="{00000000-0010-0000-0400-000005000000}" name="Division"/>
    <tableColumn id="6" xr3:uid="{00000000-0010-0000-0400-000006000000}" name="Fights"/>
    <tableColumn id="7" xr3:uid="{00000000-0010-0000-0400-000007000000}" name="WHR Score"/>
    <tableColumn id="8" xr3:uid="{00000000-0010-0000-0400-000008000000}" name="z WHR Score"/>
    <tableColumn id="9" xr3:uid="{00000000-0010-0000-0400-000009000000}" name="Rank WHR Score"/>
    <tableColumn id="10" xr3:uid="{00000000-0010-0000-0400-00000A000000}" name="Division Rank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Women5yr" displayName="TableWomen5yr" ref="D8:O44">
  <autoFilter ref="D8:O44" xr:uid="{00000000-0009-0000-0100-000006000000}"/>
  <tableColumns count="12">
    <tableColumn id="4" xr3:uid="{00000000-0010-0000-0500-000004000000}" name="Fighter"/>
    <tableColumn id="5" xr3:uid="{00000000-0010-0000-0500-000005000000}" name="Division"/>
    <tableColumn id="6" xr3:uid="{00000000-0010-0000-0500-000006000000}" name="Fights"/>
    <tableColumn id="7" xr3:uid="{00000000-0010-0000-0500-000007000000}" name="WHR Score"/>
    <tableColumn id="8" xr3:uid="{00000000-0010-0000-0500-000008000000}" name="WHR I+P Score"/>
    <tableColumn id="9" xr3:uid="{00000000-0010-0000-0500-000009000000}" name="Method I+P Score"/>
    <tableColumn id="10" xr3:uid="{00000000-0010-0000-0500-00000A000000}" name="z WHR Score"/>
    <tableColumn id="11" xr3:uid="{00000000-0010-0000-0500-00000B000000}" name="z WHR I+P Score"/>
    <tableColumn id="12" xr3:uid="{00000000-0010-0000-0500-00000C000000}" name="z Method I+P Score"/>
    <tableColumn id="13" xr3:uid="{00000000-0010-0000-0500-00000D000000}" name="Rank WHR Score"/>
    <tableColumn id="14" xr3:uid="{00000000-0010-0000-0500-00000E000000}" name="Rank WHR I+P Score"/>
    <tableColumn id="15" xr3:uid="{00000000-0010-0000-0500-00000F000000}" name="Rank Method I+P Sco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6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AL46"/>
  <sheetViews>
    <sheetView tabSelected="1" topLeftCell="A2" zoomScale="85" zoomScaleNormal="85" workbookViewId="0">
      <selection activeCell="O9" sqref="O9"/>
    </sheetView>
  </sheetViews>
  <sheetFormatPr defaultRowHeight="15" x14ac:dyDescent="0.25"/>
  <cols>
    <col min="1" max="1" width="10" customWidth="1"/>
    <col min="2" max="2" width="23" customWidth="1"/>
    <col min="3" max="3" width="13" bestFit="1" customWidth="1"/>
    <col min="4" max="4" width="22.28515625" bestFit="1" customWidth="1"/>
    <col min="5" max="5" width="17.5703125" bestFit="1" customWidth="1"/>
    <col min="6" max="6" width="8.5703125" bestFit="1" customWidth="1"/>
    <col min="7" max="7" width="19.7109375" customWidth="1"/>
    <col min="8" max="8" width="16.28515625" bestFit="1" customWidth="1"/>
    <col min="9" max="9" width="18.7109375" customWidth="1"/>
    <col min="10" max="10" width="17.28515625" bestFit="1" customWidth="1"/>
    <col min="11" max="11" width="14.7109375" bestFit="1" customWidth="1"/>
    <col min="12" max="12" width="18" bestFit="1" customWidth="1"/>
    <col min="13" max="13" width="15.140625" bestFit="1" customWidth="1"/>
    <col min="14" max="14" width="20.7109375" bestFit="1" customWidth="1"/>
    <col min="20" max="20" width="22" customWidth="1"/>
    <col min="21" max="22" width="12" bestFit="1" customWidth="1"/>
    <col min="23" max="23" width="10" bestFit="1" customWidth="1"/>
    <col min="24" max="24" width="23" bestFit="1" customWidth="1"/>
    <col min="25" max="25" width="21.140625" bestFit="1" customWidth="1"/>
    <col min="26" max="26" width="6" bestFit="1" customWidth="1"/>
    <col min="27" max="27" width="22" customWidth="1"/>
    <col min="28" max="31" width="11" customWidth="1"/>
    <col min="32" max="35" width="9" customWidth="1"/>
    <col min="36" max="38" width="12" customWidth="1"/>
    <col min="39" max="172" width="6" bestFit="1" customWidth="1"/>
    <col min="173" max="173" width="22" bestFit="1" customWidth="1"/>
    <col min="174" max="174" width="25.140625" bestFit="1" customWidth="1"/>
    <col min="175" max="175" width="28" bestFit="1" customWidth="1"/>
    <col min="176" max="176" width="26.28515625" bestFit="1" customWidth="1"/>
  </cols>
  <sheetData>
    <row r="2" spans="4:38" x14ac:dyDescent="0.25"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4:38" x14ac:dyDescent="0.25"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4:38" x14ac:dyDescent="0.25"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4:38" x14ac:dyDescent="0.25"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7" spans="4:38" ht="18.75" x14ac:dyDescent="0.3">
      <c r="Z7" s="21" t="s">
        <v>1</v>
      </c>
    </row>
    <row r="8" spans="4:38" ht="45" x14ac:dyDescent="0.25">
      <c r="D8" s="7" t="s">
        <v>2</v>
      </c>
      <c r="E8" s="5" t="s">
        <v>3</v>
      </c>
      <c r="F8" s="6" t="s">
        <v>4</v>
      </c>
      <c r="G8" s="5" t="s">
        <v>5</v>
      </c>
      <c r="H8" s="5" t="s">
        <v>6</v>
      </c>
      <c r="I8" s="5" t="s">
        <v>7</v>
      </c>
      <c r="J8" s="5" t="s">
        <v>8</v>
      </c>
      <c r="K8" s="15" t="s">
        <v>9</v>
      </c>
      <c r="L8" s="15" t="s">
        <v>10</v>
      </c>
      <c r="M8" s="15" t="s">
        <v>11</v>
      </c>
      <c r="N8" s="15" t="s">
        <v>12</v>
      </c>
      <c r="O8" s="15" t="s">
        <v>13</v>
      </c>
      <c r="P8" s="15" t="s">
        <v>14</v>
      </c>
      <c r="Q8" s="15" t="s">
        <v>15</v>
      </c>
      <c r="R8" s="15" t="s">
        <v>16</v>
      </c>
      <c r="T8" s="19" t="s">
        <v>3</v>
      </c>
      <c r="U8" s="19" t="s">
        <v>17</v>
      </c>
      <c r="V8" s="19" t="s">
        <v>18</v>
      </c>
      <c r="W8" s="19" t="s">
        <v>19</v>
      </c>
      <c r="Z8" s="22" t="s">
        <v>20</v>
      </c>
      <c r="AA8" s="22" t="s">
        <v>2</v>
      </c>
      <c r="AB8" s="22" t="s">
        <v>21</v>
      </c>
      <c r="AC8" s="22" t="s">
        <v>22</v>
      </c>
      <c r="AD8" s="22" t="s">
        <v>23</v>
      </c>
      <c r="AE8" s="22" t="s">
        <v>24</v>
      </c>
      <c r="AF8" s="22" t="s">
        <v>25</v>
      </c>
      <c r="AG8" s="22" t="s">
        <v>26</v>
      </c>
      <c r="AH8" s="22" t="s">
        <v>27</v>
      </c>
      <c r="AI8" s="22" t="s">
        <v>28</v>
      </c>
      <c r="AJ8" s="22" t="s">
        <v>29</v>
      </c>
      <c r="AK8" s="22" t="s">
        <v>30</v>
      </c>
      <c r="AL8" s="22" t="s">
        <v>31</v>
      </c>
    </row>
    <row r="9" spans="4:38" x14ac:dyDescent="0.25">
      <c r="D9" s="2" t="s">
        <v>32</v>
      </c>
      <c r="E9" s="2" t="s">
        <v>33</v>
      </c>
      <c r="F9" s="8">
        <v>24</v>
      </c>
      <c r="G9" s="4">
        <v>1943.1</v>
      </c>
      <c r="H9" s="4">
        <v>1952.6</v>
      </c>
      <c r="I9" s="4">
        <v>2618.5</v>
      </c>
      <c r="J9" s="4">
        <v>2550.6999999999998</v>
      </c>
      <c r="K9" s="13">
        <f>(Table26[[#This Row],[WHR Score]]-AVERAGE(Table26[WHR Score]))/STDEV(Table26[WHR Score])</f>
        <v>1.6557288905958756</v>
      </c>
      <c r="L9" s="13">
        <f>(Table26[[#This Row],[WHR I+P Score]]-AVERAGE(Table26[WHR I+P Score]))/STDEV(Table26[WHR I+P Score])</f>
        <v>1.6432288790337446</v>
      </c>
      <c r="M9" s="13">
        <f>(Table26[[#This Row],[Method I+P Score]]-AVERAGE(Table26[Method I+P Score]))/STDEV(Table26[Method I+P Score])</f>
        <v>2.3962260662076362</v>
      </c>
      <c r="N9" s="13">
        <f>(Table26[[#This Row],[Canonical Score]]-AVERAGE(Table26[Canonical Score]))/STDEV(Table26[Canonical Score])</f>
        <v>2.4107711103376133</v>
      </c>
      <c r="O9" s="23">
        <f>RANK(Table26[[#This Row],[WHR Score]],Table26[WHR Score],0)</f>
        <v>3</v>
      </c>
      <c r="P9" s="23">
        <f>RANK(Table26[[#This Row],[WHR I+P Score]],Table26[WHR I+P Score],0)</f>
        <v>3</v>
      </c>
      <c r="Q9" s="23">
        <f>RANK(Table26[[#This Row],[Method I+P Score]],Table26[Method I+P Score],0)</f>
        <v>1</v>
      </c>
      <c r="R9" s="23">
        <f>RANK(Table26[[#This Row],[Canonical Score]],Table26[Canonical Score],0)</f>
        <v>1</v>
      </c>
      <c r="T9" t="s">
        <v>33</v>
      </c>
      <c r="U9" s="20">
        <f>AVERAGEIF($E$9:$E$46,$T$9,$G$9:$G$46)</f>
        <v>1787.1999999999998</v>
      </c>
      <c r="V9" s="20">
        <f>_xlfn.MAXIFS($G$9:$G$46,$E$9:$E$46,$T$9)</f>
        <v>1943.1</v>
      </c>
      <c r="W9">
        <f>COUNTIF($E$9:$E$46,$T$9)</f>
        <v>6</v>
      </c>
      <c r="Z9">
        <v>1</v>
      </c>
      <c r="AA9" t="str">
        <f>INDEX(Table26[Fighter],MATCH(LARGE(Table26[WHR Score],1),Table26[WHR Score],0))</f>
        <v>Jon Jones</v>
      </c>
      <c r="AB9" s="17">
        <f>INDEX(Table26[z-Score WHR],MATCH($AA$9,Table26[Fighter],0))</f>
        <v>2.3632077643350882</v>
      </c>
      <c r="AC9" s="17">
        <f>INDEX(Table26[z-Score WHR I+P],MATCH($AA$9,Table26[Fighter],0))</f>
        <v>2.3421107401476982</v>
      </c>
      <c r="AD9" s="17">
        <f>INDEX(Table26[z-Method I+P],MATCH($AA$9,Table26[Fighter],0))</f>
        <v>2.2224780618233053</v>
      </c>
      <c r="AE9" s="17">
        <f>INDEX(Table26[z-Canonical Glicko2],MATCH($AA$9,Table26[Fighter],0))</f>
        <v>2.2479963716538367</v>
      </c>
      <c r="AF9">
        <f>INDEX(Table26[Rank WHR],MATCH($AA$9,Table26[Fighter],0))</f>
        <v>1</v>
      </c>
      <c r="AG9">
        <f>INDEX(Table26[Rank WHR I+P],MATCH($AA$9,Table26[Fighter],0))</f>
        <v>1</v>
      </c>
      <c r="AH9">
        <f>INDEX(Table26[Rank Method I+P],MATCH($AA$9,Table26[Fighter],0))</f>
        <v>2</v>
      </c>
      <c r="AI9">
        <f>INDEX(Table26[Rank Canonical],MATCH($AA$9,Table26[Fighter],0))</f>
        <v>2</v>
      </c>
      <c r="AJ9" s="20">
        <f t="shared" ref="AJ9:AJ28" si="0">AVERAGE($AF9:$AI9)</f>
        <v>1.5</v>
      </c>
      <c r="AK9">
        <f t="shared" ref="AK9:AK28" si="1">MAX($AF9:$AI9)-MIN($AF9:$AI9)</f>
        <v>1</v>
      </c>
      <c r="AL9" s="17">
        <f t="shared" ref="AL9:AL28" si="2">MAX($AB9:$AE9)-MIN($AB9:$AE9)</f>
        <v>0.14072970251178285</v>
      </c>
    </row>
    <row r="10" spans="4:38" x14ac:dyDescent="0.25">
      <c r="D10" s="2" t="s">
        <v>34</v>
      </c>
      <c r="E10" s="2" t="s">
        <v>35</v>
      </c>
      <c r="F10" s="8">
        <v>23</v>
      </c>
      <c r="G10" s="4">
        <v>1999.2</v>
      </c>
      <c r="H10" s="4">
        <v>2008</v>
      </c>
      <c r="I10" s="4">
        <v>2596.5</v>
      </c>
      <c r="J10" s="4">
        <v>2530.4</v>
      </c>
      <c r="K10" s="4">
        <f>(Table26[[#This Row],[WHR Score]]-AVERAGE(Table26[WHR Score]))/STDEV(Table26[WHR Score])</f>
        <v>2.3632077643350882</v>
      </c>
      <c r="L10" s="4">
        <f>(Table26[[#This Row],[WHR I+P Score]]-AVERAGE(Table26[WHR I+P Score]))/STDEV(Table26[WHR I+P Score])</f>
        <v>2.3421107401476982</v>
      </c>
      <c r="M10" s="4">
        <f>(Table26[[#This Row],[Method I+P Score]]-AVERAGE(Table26[Method I+P Score]))/STDEV(Table26[Method I+P Score])</f>
        <v>2.2224780618233053</v>
      </c>
      <c r="N10" s="4">
        <f>(Table26[[#This Row],[Canonical Score]]-AVERAGE(Table26[Canonical Score]))/STDEV(Table26[Canonical Score])</f>
        <v>2.2479963716538367</v>
      </c>
      <c r="O10" s="24">
        <f>RANK(Table26[[#This Row],[WHR Score]],Table26[WHR Score],0)</f>
        <v>1</v>
      </c>
      <c r="P10" s="24">
        <f>RANK(Table26[[#This Row],[WHR I+P Score]],Table26[WHR I+P Score],0)</f>
        <v>1</v>
      </c>
      <c r="Q10" s="24">
        <f>RANK(Table26[[#This Row],[Method I+P Score]],Table26[Method I+P Score],0)</f>
        <v>2</v>
      </c>
      <c r="R10" s="24">
        <f>RANK(Table26[[#This Row],[Canonical Score]],Table26[Canonical Score],0)</f>
        <v>2</v>
      </c>
      <c r="T10" t="s">
        <v>35</v>
      </c>
      <c r="U10" s="20">
        <f>AVERAGEIF($E$9:$E$46,$T$10,$G$9:$G$46)</f>
        <v>1883.2333333333333</v>
      </c>
      <c r="V10" s="20">
        <f>_xlfn.MAXIFS($G$9:$G$46,$E$9:$E$46,$T$10)</f>
        <v>1999.2</v>
      </c>
      <c r="W10">
        <f>COUNTIF($E$9:$E$46,$T$10)</f>
        <v>3</v>
      </c>
      <c r="Z10">
        <v>2</v>
      </c>
      <c r="AA10" t="str">
        <f>INDEX(Table26[Fighter],MATCH(LARGE(Table26[WHR Score],2),Table26[WHR Score],0))</f>
        <v>Georges St-Pierre</v>
      </c>
      <c r="AB10" s="17">
        <f>INDEX(Table26[z-Score WHR],MATCH($AA$10,Table26[Fighter],0))</f>
        <v>2.2497084797779956</v>
      </c>
      <c r="AC10" s="17">
        <f>INDEX(Table26[z-Score WHR I+P],MATCH($AA$10,Table26[Fighter],0))</f>
        <v>2.26389652464397</v>
      </c>
      <c r="AD10" s="17">
        <f>INDEX(Table26[z-Method I+P],MATCH($AA$10,Table26[Fighter],0))</f>
        <v>1.5693435180694799</v>
      </c>
      <c r="AE10" s="17">
        <f>INDEX(Table26[z-Canonical Glicko2],MATCH($AA$10,Table26[Fighter],0))</f>
        <v>1.5022795885212548</v>
      </c>
      <c r="AF10">
        <f>INDEX(Table26[Rank WHR],MATCH($AA$10,Table26[Fighter],0))</f>
        <v>2</v>
      </c>
      <c r="AG10">
        <f>INDEX(Table26[Rank WHR I+P],MATCH($AA$10,Table26[Fighter],0))</f>
        <v>2</v>
      </c>
      <c r="AH10">
        <f>INDEX(Table26[Rank Method I+P],MATCH($AA$10,Table26[Fighter],0))</f>
        <v>3</v>
      </c>
      <c r="AI10">
        <f>INDEX(Table26[Rank Canonical],MATCH($AA$10,Table26[Fighter],0))</f>
        <v>3</v>
      </c>
      <c r="AJ10" s="20">
        <f t="shared" si="0"/>
        <v>2.5</v>
      </c>
      <c r="AK10">
        <f t="shared" si="1"/>
        <v>1</v>
      </c>
      <c r="AL10" s="17">
        <f t="shared" si="2"/>
        <v>0.76161693612271519</v>
      </c>
    </row>
    <row r="11" spans="4:38" x14ac:dyDescent="0.25">
      <c r="D11" s="3" t="s">
        <v>36</v>
      </c>
      <c r="E11" s="3" t="s">
        <v>37</v>
      </c>
      <c r="F11" s="9">
        <v>22</v>
      </c>
      <c r="G11" s="10">
        <v>1990.2</v>
      </c>
      <c r="H11" s="4">
        <v>2001.8</v>
      </c>
      <c r="I11" s="4">
        <v>2513.8000000000002</v>
      </c>
      <c r="J11" s="4">
        <v>2437.4</v>
      </c>
      <c r="K11" s="4">
        <f>(Table26[[#This Row],[WHR Score]]-AVERAGE(Table26[WHR Score]))/STDEV(Table26[WHR Score])</f>
        <v>2.2497084797779956</v>
      </c>
      <c r="L11" s="4">
        <f>(Table26[[#This Row],[WHR I+P Score]]-AVERAGE(Table26[WHR I+P Score]))/STDEV(Table26[WHR I+P Score])</f>
        <v>2.26389652464397</v>
      </c>
      <c r="M11" s="4">
        <f>(Table26[[#This Row],[Method I+P Score]]-AVERAGE(Table26[Method I+P Score]))/STDEV(Table26[Method I+P Score])</f>
        <v>1.5693435180694799</v>
      </c>
      <c r="N11" s="4">
        <f>(Table26[[#This Row],[Canonical Score]]-AVERAGE(Table26[Canonical Score]))/STDEV(Table26[Canonical Score])</f>
        <v>1.5022795885212548</v>
      </c>
      <c r="O11" s="24">
        <f>RANK(Table26[[#This Row],[WHR Score]],Table26[WHR Score],0)</f>
        <v>2</v>
      </c>
      <c r="P11" s="24">
        <f>RANK(Table26[[#This Row],[WHR I+P Score]],Table26[WHR I+P Score],0)</f>
        <v>2</v>
      </c>
      <c r="Q11" s="24">
        <f>RANK(Table26[[#This Row],[Method I+P Score]],Table26[Method I+P Score],0)</f>
        <v>3</v>
      </c>
      <c r="R11" s="24">
        <f>RANK(Table26[[#This Row],[Canonical Score]],Table26[Canonical Score],0)</f>
        <v>3</v>
      </c>
      <c r="T11" t="s">
        <v>37</v>
      </c>
      <c r="U11" s="20">
        <f>AVERAGEIF($E$9:$E$46,$T$11,$G$9:$G$46)</f>
        <v>1857.375</v>
      </c>
      <c r="V11" s="20">
        <f>_xlfn.MAXIFS($G$9:$G$46,$E$9:$E$46,$T$11)</f>
        <v>1990.2</v>
      </c>
      <c r="W11">
        <f>COUNTIF($E$9:$E$46,$T$11)</f>
        <v>4</v>
      </c>
      <c r="Z11">
        <v>3</v>
      </c>
      <c r="AA11" t="str">
        <f>INDEX(Table26[Fighter],MATCH(LARGE(Table26[WHR Score],3),Table26[WHR Score],0))</f>
        <v>Anderson Silva</v>
      </c>
      <c r="AB11" s="17">
        <f>INDEX(Table26[z-Score WHR],MATCH($AA$11,Table26[Fighter],0))</f>
        <v>1.6557288905958756</v>
      </c>
      <c r="AC11" s="17">
        <f>INDEX(Table26[z-Score WHR I+P],MATCH($AA$11,Table26[Fighter],0))</f>
        <v>1.6432288790337446</v>
      </c>
      <c r="AD11" s="17">
        <f>INDEX(Table26[z-Method I+P],MATCH($AA$11,Table26[Fighter],0))</f>
        <v>2.3962260662076362</v>
      </c>
      <c r="AE11" s="17">
        <f>INDEX(Table26[z-Canonical Glicko2],MATCH($AA$11,Table26[Fighter],0))</f>
        <v>2.4107711103376133</v>
      </c>
      <c r="AF11">
        <f>INDEX(Table26[Rank WHR],MATCH($AA$11,Table26[Fighter],0))</f>
        <v>3</v>
      </c>
      <c r="AG11">
        <f>INDEX(Table26[Rank WHR I+P],MATCH($AA$11,Table26[Fighter],0))</f>
        <v>3</v>
      </c>
      <c r="AH11">
        <f>INDEX(Table26[Rank Method I+P],MATCH($AA$11,Table26[Fighter],0))</f>
        <v>1</v>
      </c>
      <c r="AI11">
        <f>INDEX(Table26[Rank Canonical],MATCH($AA$11,Table26[Fighter],0))</f>
        <v>1</v>
      </c>
      <c r="AJ11" s="20">
        <f t="shared" si="0"/>
        <v>2</v>
      </c>
      <c r="AK11">
        <f t="shared" si="1"/>
        <v>2</v>
      </c>
      <c r="AL11" s="17">
        <f t="shared" si="2"/>
        <v>0.76754223130386867</v>
      </c>
    </row>
    <row r="12" spans="4:38" x14ac:dyDescent="0.25">
      <c r="D12" s="3" t="s">
        <v>38</v>
      </c>
      <c r="E12" s="3" t="s">
        <v>35</v>
      </c>
      <c r="F12" s="9">
        <v>14</v>
      </c>
      <c r="G12" s="10">
        <v>1877.7</v>
      </c>
      <c r="H12" s="4">
        <v>1889.4</v>
      </c>
      <c r="I12" s="4">
        <v>2489.6</v>
      </c>
      <c r="J12" s="4">
        <v>2400.6</v>
      </c>
      <c r="K12" s="4">
        <f>(Table26[[#This Row],[WHR Score]]-AVERAGE(Table26[WHR Score]))/STDEV(Table26[WHR Score])</f>
        <v>0.83096742281433711</v>
      </c>
      <c r="L12" s="4">
        <f>(Table26[[#This Row],[WHR I+P Score]]-AVERAGE(Table26[WHR I+P Score]))/STDEV(Table26[WHR I+P Score])</f>
        <v>0.84594848873768547</v>
      </c>
      <c r="M12" s="4">
        <f>(Table26[[#This Row],[Method I+P Score]]-AVERAGE(Table26[Method I+P Score]))/STDEV(Table26[Method I+P Score])</f>
        <v>1.3782207132467135</v>
      </c>
      <c r="N12" s="4">
        <f>(Table26[[#This Row],[Canonical Score]]-AVERAGE(Table26[Canonical Score]))/STDEV(Table26[Canonical Score])</f>
        <v>1.2072002592816939</v>
      </c>
      <c r="O12" s="24">
        <f>RANK(Table26[[#This Row],[WHR Score]],Table26[WHR Score],0)</f>
        <v>8</v>
      </c>
      <c r="P12" s="24">
        <f>RANK(Table26[[#This Row],[WHR I+P Score]],Table26[WHR I+P Score],0)</f>
        <v>8</v>
      </c>
      <c r="Q12" s="24">
        <f>RANK(Table26[[#This Row],[Method I+P Score]],Table26[Method I+P Score],0)</f>
        <v>4</v>
      </c>
      <c r="R12" s="24">
        <f>RANK(Table26[[#This Row],[Canonical Score]],Table26[Canonical Score],0)</f>
        <v>7</v>
      </c>
      <c r="T12" t="s">
        <v>39</v>
      </c>
      <c r="U12" s="20">
        <f>AVERAGEIF($E$9:$E$46,$T$12,$G$9:$G$46)</f>
        <v>1854.3000000000002</v>
      </c>
      <c r="V12" s="20">
        <f>_xlfn.MAXIFS($G$9:$G$46,$E$9:$E$46,$T$12)</f>
        <v>1912.4</v>
      </c>
      <c r="W12">
        <f>COUNTIF($E$9:$E$46,$T$12)</f>
        <v>4</v>
      </c>
      <c r="Z12">
        <v>4</v>
      </c>
      <c r="AA12" t="str">
        <f>INDEX(Table26[Fighter],MATCH(LARGE(Table26[WHR Score],4),Table26[WHR Score],0))</f>
        <v>Demetrious Johnson</v>
      </c>
      <c r="AB12" s="17">
        <f>INDEX(Table26[z-Score WHR],MATCH($AA$12,Table26[Fighter],0))</f>
        <v>1.5359240902300555</v>
      </c>
      <c r="AC12" s="17">
        <f>INDEX(Table26[z-Score WHR I+P],MATCH($AA$12,Table26[Fighter],0))</f>
        <v>1.4968926048654811</v>
      </c>
      <c r="AD12" s="17">
        <f>INDEX(Table26[z-Method I+P],MATCH($AA$12,Table26[Fighter],0))</f>
        <v>-2.9138122266367267E-2</v>
      </c>
      <c r="AE12" s="17">
        <f>INDEX(Table26[z-Canonical Glicko2],MATCH($AA$12,Table26[Fighter],0))</f>
        <v>0.1848466049870249</v>
      </c>
      <c r="AF12">
        <f>INDEX(Table26[Rank WHR],MATCH($AA$12,Table26[Fighter],0))</f>
        <v>4</v>
      </c>
      <c r="AG12">
        <f>INDEX(Table26[Rank WHR I+P],MATCH($AA$12,Table26[Fighter],0))</f>
        <v>4</v>
      </c>
      <c r="AH12">
        <f>INDEX(Table26[Rank Method I+P],MATCH($AA$12,Table26[Fighter],0))</f>
        <v>18</v>
      </c>
      <c r="AI12">
        <f>INDEX(Table26[Rank Canonical],MATCH($AA$12,Table26[Fighter],0))</f>
        <v>14</v>
      </c>
      <c r="AJ12" s="20">
        <f t="shared" si="0"/>
        <v>10</v>
      </c>
      <c r="AK12">
        <f t="shared" si="1"/>
        <v>14</v>
      </c>
      <c r="AL12" s="17">
        <f t="shared" si="2"/>
        <v>1.5650622124964229</v>
      </c>
    </row>
    <row r="13" spans="4:38" x14ac:dyDescent="0.25">
      <c r="D13" s="2" t="s">
        <v>40</v>
      </c>
      <c r="E13" s="2" t="s">
        <v>39</v>
      </c>
      <c r="F13" s="8">
        <v>18</v>
      </c>
      <c r="G13" s="4">
        <v>1912.4</v>
      </c>
      <c r="H13" s="4">
        <v>1926.1</v>
      </c>
      <c r="I13" s="4">
        <v>2487.6</v>
      </c>
      <c r="J13" s="4">
        <v>2425.8000000000002</v>
      </c>
      <c r="K13" s="4">
        <f>(Table26[[#This Row],[WHR Score]]-AVERAGE(Table26[WHR Score]))/STDEV(Table26[WHR Score])</f>
        <v>1.2685702199400173</v>
      </c>
      <c r="L13" s="4">
        <f>(Table26[[#This Row],[WHR I+P Score]]-AVERAGE(Table26[WHR I+P Score]))/STDEV(Table26[WHR I+P Score])</f>
        <v>1.3089261837355541</v>
      </c>
      <c r="M13" s="4">
        <f>(Table26[[#This Row],[Method I+P Score]]-AVERAGE(Table26[Method I+P Score]))/STDEV(Table26[Method I+P Score])</f>
        <v>1.3624254401208653</v>
      </c>
      <c r="N13" s="4">
        <f>(Table26[[#This Row],[Canonical Score]]-AVERAGE(Table26[Canonical Score]))/STDEV(Table26[Canonical Score])</f>
        <v>1.4092654521305248</v>
      </c>
      <c r="O13" s="24">
        <f>RANK(Table26[[#This Row],[WHR Score]],Table26[WHR Score],0)</f>
        <v>5</v>
      </c>
      <c r="P13" s="24">
        <f>RANK(Table26[[#This Row],[WHR I+P Score]],Table26[WHR I+P Score],0)</f>
        <v>5</v>
      </c>
      <c r="Q13" s="24">
        <f>RANK(Table26[[#This Row],[Method I+P Score]],Table26[Method I+P Score],0)</f>
        <v>5</v>
      </c>
      <c r="R13" s="24">
        <f>RANK(Table26[[#This Row],[Canonical Score]],Table26[Canonical Score],0)</f>
        <v>4</v>
      </c>
      <c r="T13" t="s">
        <v>41</v>
      </c>
      <c r="U13" s="20">
        <f>AVERAGEIF($E$9:$E$46,$T$13,$G$9:$G$46)</f>
        <v>1789.8857142857141</v>
      </c>
      <c r="V13" s="20">
        <f>_xlfn.MAXIFS($G$9:$G$46,$E$9:$E$46,$T$13)</f>
        <v>1910.3</v>
      </c>
      <c r="W13">
        <f>COUNTIF($E$9:$E$46,$T$13)</f>
        <v>7</v>
      </c>
      <c r="Z13">
        <v>5</v>
      </c>
      <c r="AA13" t="str">
        <f>INDEX(Table26[Fighter],MATCH(LARGE(Table26[WHR Score],5),Table26[WHR Score],0))</f>
        <v>Alexander Volkanovski</v>
      </c>
      <c r="AB13" s="17">
        <f>INDEX(Table26[z-Score WHR],MATCH($AA$13,Table26[Fighter],0))</f>
        <v>1.2685702199400173</v>
      </c>
      <c r="AC13" s="17">
        <f>INDEX(Table26[z-Score WHR I+P],MATCH($AA$13,Table26[Fighter],0))</f>
        <v>1.3089261837355541</v>
      </c>
      <c r="AD13" s="17">
        <f>INDEX(Table26[z-Method I+P],MATCH($AA$13,Table26[Fighter],0))</f>
        <v>1.3624254401208653</v>
      </c>
      <c r="AE13" s="17">
        <f>INDEX(Table26[z-Canonical Glicko2],MATCH($AA$13,Table26[Fighter],0))</f>
        <v>1.4092654521305248</v>
      </c>
      <c r="AF13">
        <f>INDEX(Table26[Rank WHR],MATCH($AA$13,Table26[Fighter],0))</f>
        <v>5</v>
      </c>
      <c r="AG13">
        <f>INDEX(Table26[Rank WHR I+P],MATCH($AA$13,Table26[Fighter],0))</f>
        <v>5</v>
      </c>
      <c r="AH13">
        <f>INDEX(Table26[Rank Method I+P],MATCH($AA$13,Table26[Fighter],0))</f>
        <v>5</v>
      </c>
      <c r="AI13">
        <f>INDEX(Table26[Rank Canonical],MATCH($AA$13,Table26[Fighter],0))</f>
        <v>4</v>
      </c>
      <c r="AJ13" s="20">
        <f t="shared" si="0"/>
        <v>4.75</v>
      </c>
      <c r="AK13">
        <f t="shared" si="1"/>
        <v>1</v>
      </c>
      <c r="AL13" s="17">
        <f t="shared" si="2"/>
        <v>0.1406952321905075</v>
      </c>
    </row>
    <row r="14" spans="4:38" x14ac:dyDescent="0.25">
      <c r="D14" s="2" t="s">
        <v>42</v>
      </c>
      <c r="E14" s="2" t="s">
        <v>39</v>
      </c>
      <c r="F14" s="8">
        <v>23</v>
      </c>
      <c r="G14" s="4">
        <v>1885.5</v>
      </c>
      <c r="H14" s="4">
        <v>1897.8</v>
      </c>
      <c r="I14" s="4">
        <v>2476.8000000000002</v>
      </c>
      <c r="J14" s="4">
        <v>2402.4</v>
      </c>
      <c r="K14" s="4">
        <f>(Table26[[#This Row],[WHR Score]]-AVERAGE(Table26[WHR Score]))/STDEV(Table26[WHR Score])</f>
        <v>0.92933346943048356</v>
      </c>
      <c r="L14" s="4">
        <f>(Table26[[#This Row],[WHR I+P Score]]-AVERAGE(Table26[WHR I+P Score]))/STDEV(Table26[WHR I+P Score])</f>
        <v>0.95191613554918553</v>
      </c>
      <c r="M14" s="4">
        <f>(Table26[[#This Row],[Method I+P Score]]-AVERAGE(Table26[Method I+P Score]))/STDEV(Table26[Method I+P Score])</f>
        <v>1.2771309652412868</v>
      </c>
      <c r="N14" s="4">
        <f>(Table26[[#This Row],[Canonical Score]]-AVERAGE(Table26[Canonical Score]))/STDEV(Table26[Canonical Score])</f>
        <v>1.221633487342326</v>
      </c>
      <c r="O14" s="24">
        <f>RANK(Table26[[#This Row],[WHR Score]],Table26[WHR Score],0)</f>
        <v>7</v>
      </c>
      <c r="P14" s="24">
        <f>RANK(Table26[[#This Row],[WHR I+P Score]],Table26[WHR I+P Score],0)</f>
        <v>7</v>
      </c>
      <c r="Q14" s="24">
        <f>RANK(Table26[[#This Row],[Method I+P Score]],Table26[Method I+P Score],0)</f>
        <v>6</v>
      </c>
      <c r="R14" s="24">
        <f>RANK(Table26[[#This Row],[Canonical Score]],Table26[Canonical Score],0)</f>
        <v>6</v>
      </c>
      <c r="T14" t="s">
        <v>43</v>
      </c>
      <c r="U14" s="20">
        <f>AVERAGEIF($E$9:$E$46,$T$14,$G$9:$G$46)</f>
        <v>1790.6833333333334</v>
      </c>
      <c r="V14" s="20">
        <f>_xlfn.MAXIFS($G$9:$G$46,$E$9:$E$46,$T$14)</f>
        <v>1856.2</v>
      </c>
      <c r="W14">
        <f>COUNTIF($E$9:$E$46,$T$14)</f>
        <v>6</v>
      </c>
      <c r="Z14">
        <v>6</v>
      </c>
      <c r="AA14" t="str">
        <f>INDEX(Table26[Fighter],MATCH(LARGE(Table26[WHR Score],6),Table26[WHR Score],0))</f>
        <v>Islam Makhachev</v>
      </c>
      <c r="AB14" s="17">
        <f>INDEX(Table26[z-Score WHR],MATCH($AA$14,Table26[Fighter],0))</f>
        <v>1.2420870535433606</v>
      </c>
      <c r="AC14" s="17">
        <f>INDEX(Table26[z-Score WHR I+P],MATCH($AA$14,Table26[Fighter],0))</f>
        <v>1.2294504486269284</v>
      </c>
      <c r="AD14" s="17">
        <f>INDEX(Table26[z-Method I+P],MATCH($AA$14,Table26[Fighter],0))</f>
        <v>0.83881213599899673</v>
      </c>
      <c r="AE14" s="17">
        <f>INDEX(Table26[z-Canonical Glicko2],MATCH($AA$14,Table26[Fighter],0))</f>
        <v>0.90249877800171407</v>
      </c>
      <c r="AF14">
        <f>INDEX(Table26[Rank WHR],MATCH($AA$14,Table26[Fighter],0))</f>
        <v>6</v>
      </c>
      <c r="AG14">
        <f>INDEX(Table26[Rank WHR I+P],MATCH($AA$14,Table26[Fighter],0))</f>
        <v>6</v>
      </c>
      <c r="AH14">
        <f>INDEX(Table26[Rank Method I+P],MATCH($AA$14,Table26[Fighter],0))</f>
        <v>9</v>
      </c>
      <c r="AI14">
        <f>INDEX(Table26[Rank Canonical],MATCH($AA$14,Table26[Fighter],0))</f>
        <v>9</v>
      </c>
      <c r="AJ14" s="20">
        <f t="shared" si="0"/>
        <v>7.5</v>
      </c>
      <c r="AK14">
        <f t="shared" si="1"/>
        <v>3</v>
      </c>
      <c r="AL14" s="17">
        <f t="shared" si="2"/>
        <v>0.40327491754436384</v>
      </c>
    </row>
    <row r="15" spans="4:38" x14ac:dyDescent="0.25">
      <c r="D15" s="2" t="s">
        <v>44</v>
      </c>
      <c r="E15" s="2" t="s">
        <v>33</v>
      </c>
      <c r="F15" s="8">
        <v>19</v>
      </c>
      <c r="G15" s="4">
        <v>1867.9</v>
      </c>
      <c r="H15" s="4">
        <v>1882.6</v>
      </c>
      <c r="I15" s="4">
        <v>2476.4</v>
      </c>
      <c r="J15" s="4">
        <v>2402.6999999999998</v>
      </c>
      <c r="K15" s="4">
        <f>(Table26[[#This Row],[WHR Score]]-AVERAGE(Table26[WHR Score]))/STDEV(Table26[WHR Score])</f>
        <v>0.70737931296328127</v>
      </c>
      <c r="L15" s="4">
        <f>(Table26[[#This Row],[WHR I+P Score]]-AVERAGE(Table26[WHR I+P Score]))/STDEV(Table26[WHR I+P Score])</f>
        <v>0.76016515560456266</v>
      </c>
      <c r="M15" s="4">
        <f>(Table26[[#This Row],[Method I+P Score]]-AVERAGE(Table26[Method I+P Score]))/STDEV(Table26[Method I+P Score])</f>
        <v>1.2739719106161163</v>
      </c>
      <c r="N15" s="4">
        <f>(Table26[[#This Row],[Canonical Score]]-AVERAGE(Table26[Canonical Score]))/STDEV(Table26[Canonical Score])</f>
        <v>1.2240390253524289</v>
      </c>
      <c r="O15" s="24">
        <f>RANK(Table26[[#This Row],[WHR Score]],Table26[WHR Score],0)</f>
        <v>9</v>
      </c>
      <c r="P15" s="24">
        <f>RANK(Table26[[#This Row],[WHR I+P Score]],Table26[WHR I+P Score],0)</f>
        <v>9</v>
      </c>
      <c r="Q15" s="24">
        <f>RANK(Table26[[#This Row],[Method I+P Score]],Table26[Method I+P Score],0)</f>
        <v>7</v>
      </c>
      <c r="R15" s="24">
        <f>RANK(Table26[[#This Row],[Canonical Score]],Table26[Canonical Score],0)</f>
        <v>5</v>
      </c>
      <c r="T15" t="s">
        <v>45</v>
      </c>
      <c r="U15" s="20">
        <f>AVERAGEIF($E$9:$E$46,$T$15,$G$9:$G$46)</f>
        <v>1808.4</v>
      </c>
      <c r="V15" s="20">
        <f>_xlfn.MAXIFS($G$9:$G$46,$E$9:$E$46,$T$15)</f>
        <v>1933.6</v>
      </c>
      <c r="W15">
        <f>COUNTIF($E$9:$E$46,$T$15)</f>
        <v>4</v>
      </c>
      <c r="Z15">
        <v>7</v>
      </c>
      <c r="AA15" t="str">
        <f>INDEX(Table26[Fighter],MATCH(LARGE(Table26[WHR Score],7),Table26[WHR Score],0))</f>
        <v>Jose Aldo</v>
      </c>
      <c r="AB15" s="17">
        <f>INDEX(Table26[z-Score WHR],MATCH($AA$15,Table26[Fighter],0))</f>
        <v>0.92933346943048356</v>
      </c>
      <c r="AC15" s="17">
        <f>INDEX(Table26[z-Score WHR I+P],MATCH($AA$15,Table26[Fighter],0))</f>
        <v>0.95191613554918553</v>
      </c>
      <c r="AD15" s="17">
        <f>INDEX(Table26[z-Method I+P],MATCH($AA$15,Table26[Fighter],0))</f>
        <v>1.2771309652412868</v>
      </c>
      <c r="AE15" s="17">
        <f>INDEX(Table26[z-Canonical Glicko2],MATCH($AA$15,Table26[Fighter],0))</f>
        <v>1.221633487342326</v>
      </c>
      <c r="AF15">
        <f>INDEX(Table26[Rank WHR],MATCH($AA$15,Table26[Fighter],0))</f>
        <v>7</v>
      </c>
      <c r="AG15">
        <f>INDEX(Table26[Rank WHR I+P],MATCH($AA$15,Table26[Fighter],0))</f>
        <v>7</v>
      </c>
      <c r="AH15">
        <f>INDEX(Table26[Rank Method I+P],MATCH($AA$15,Table26[Fighter],0))</f>
        <v>6</v>
      </c>
      <c r="AI15">
        <f>INDEX(Table26[Rank Canonical],MATCH($AA$15,Table26[Fighter],0))</f>
        <v>6</v>
      </c>
      <c r="AJ15" s="20">
        <f t="shared" si="0"/>
        <v>6.5</v>
      </c>
      <c r="AK15">
        <f t="shared" si="1"/>
        <v>1</v>
      </c>
      <c r="AL15" s="17">
        <f t="shared" si="2"/>
        <v>0.34779749581080321</v>
      </c>
    </row>
    <row r="16" spans="4:38" x14ac:dyDescent="0.25">
      <c r="D16" s="3" t="s">
        <v>46</v>
      </c>
      <c r="E16" s="3" t="s">
        <v>37</v>
      </c>
      <c r="F16" s="9">
        <v>19</v>
      </c>
      <c r="G16" s="10">
        <v>1857</v>
      </c>
      <c r="H16" s="4">
        <v>1867.7</v>
      </c>
      <c r="I16" s="4">
        <v>2436.1</v>
      </c>
      <c r="J16" s="4">
        <v>2384.4</v>
      </c>
      <c r="K16" s="4">
        <f>(Table26[[#This Row],[WHR Score]]-AVERAGE(Table26[WHR Score]))/STDEV(Table26[WHR Score])</f>
        <v>0.56991906833302342</v>
      </c>
      <c r="L16" s="4">
        <f>(Table26[[#This Row],[WHR I+P Score]]-AVERAGE(Table26[WHR I+P Score]))/STDEV(Table26[WHR I+P Score])</f>
        <v>0.57219873447463854</v>
      </c>
      <c r="M16" s="4">
        <f>(Table26[[#This Row],[Method I+P Score]]-AVERAGE(Table26[Method I+P Score]))/STDEV(Table26[Method I+P Score])</f>
        <v>0.95569715713027192</v>
      </c>
      <c r="N16" s="4">
        <f>(Table26[[#This Row],[Canonical Score]]-AVERAGE(Table26[Canonical Score]))/STDEV(Table26[Canonical Score])</f>
        <v>1.0773012067360197</v>
      </c>
      <c r="O16" s="24">
        <f>RANK(Table26[[#This Row],[WHR Score]],Table26[WHR Score],0)</f>
        <v>10</v>
      </c>
      <c r="P16" s="24">
        <f>RANK(Table26[[#This Row],[WHR I+P Score]],Table26[WHR I+P Score],0)</f>
        <v>11</v>
      </c>
      <c r="Q16" s="24">
        <f>RANK(Table26[[#This Row],[Method I+P Score]],Table26[Method I+P Score],0)</f>
        <v>8</v>
      </c>
      <c r="R16" s="24">
        <f>RANK(Table26[[#This Row],[Canonical Score]],Table26[Canonical Score],0)</f>
        <v>8</v>
      </c>
      <c r="T16" t="s">
        <v>47</v>
      </c>
      <c r="U16" s="20">
        <f>AVERAGEIF($E$9:$E$46,$T$16,$G$9:$G$46)</f>
        <v>1780.55</v>
      </c>
      <c r="V16" s="20">
        <f>_xlfn.MAXIFS($G$9:$G$46,$E$9:$E$46,$T$16)</f>
        <v>1806</v>
      </c>
      <c r="W16">
        <f>COUNTIF($E$9:$E$46,$T$16)</f>
        <v>4</v>
      </c>
      <c r="Z16">
        <v>8</v>
      </c>
      <c r="AA16" t="str">
        <f>INDEX(Table26[Fighter],MATCH(LARGE(Table26[WHR Score],8),Table26[WHR Score],0))</f>
        <v>Daniel Cormier</v>
      </c>
      <c r="AB16" s="17">
        <f>INDEX(Table26[z-Score WHR],MATCH($AA$16,Table26[Fighter],0))</f>
        <v>0.83096742281433711</v>
      </c>
      <c r="AC16" s="17">
        <f>INDEX(Table26[z-Score WHR I+P],MATCH($AA$16,Table26[Fighter],0))</f>
        <v>0.84594848873768547</v>
      </c>
      <c r="AD16" s="17">
        <f>INDEX(Table26[z-Method I+P],MATCH($AA$16,Table26[Fighter],0))</f>
        <v>1.3782207132467135</v>
      </c>
      <c r="AE16" s="17">
        <f>INDEX(Table26[z-Canonical Glicko2],MATCH($AA$16,Table26[Fighter],0))</f>
        <v>1.2072002592816939</v>
      </c>
      <c r="AF16">
        <f>INDEX(Table26[Rank WHR],MATCH($AA$16,Table26[Fighter],0))</f>
        <v>8</v>
      </c>
      <c r="AG16">
        <f>INDEX(Table26[Rank WHR I+P],MATCH($AA$16,Table26[Fighter],0))</f>
        <v>8</v>
      </c>
      <c r="AH16">
        <f>INDEX(Table26[Rank Method I+P],MATCH($AA$16,Table26[Fighter],0))</f>
        <v>4</v>
      </c>
      <c r="AI16">
        <f>INDEX(Table26[Rank Canonical],MATCH($AA$16,Table26[Fighter],0))</f>
        <v>7</v>
      </c>
      <c r="AJ16" s="20">
        <f t="shared" si="0"/>
        <v>6.75</v>
      </c>
      <c r="AK16">
        <f t="shared" si="1"/>
        <v>4</v>
      </c>
      <c r="AL16" s="17">
        <f t="shared" si="2"/>
        <v>0.54725329043237636</v>
      </c>
    </row>
    <row r="17" spans="4:38" x14ac:dyDescent="0.25">
      <c r="D17" s="3" t="s">
        <v>48</v>
      </c>
      <c r="E17" s="3" t="s">
        <v>41</v>
      </c>
      <c r="F17" s="9">
        <v>18</v>
      </c>
      <c r="G17" s="10">
        <v>1910.3</v>
      </c>
      <c r="H17" s="4">
        <v>1919.8</v>
      </c>
      <c r="I17" s="4">
        <v>2421.3000000000002</v>
      </c>
      <c r="J17" s="4">
        <v>2362.6</v>
      </c>
      <c r="K17" s="4">
        <f>(Table26[[#This Row],[WHR Score]]-AVERAGE(Table26[WHR Score]))/STDEV(Table26[WHR Score])</f>
        <v>1.2420870535433606</v>
      </c>
      <c r="L17" s="4">
        <f>(Table26[[#This Row],[WHR I+P Score]]-AVERAGE(Table26[WHR I+P Score]))/STDEV(Table26[WHR I+P Score])</f>
        <v>1.2294504486269284</v>
      </c>
      <c r="M17" s="4">
        <f>(Table26[[#This Row],[Method I+P Score]]-AVERAGE(Table26[Method I+P Score]))/STDEV(Table26[Method I+P Score])</f>
        <v>0.83881213599899673</v>
      </c>
      <c r="N17" s="4">
        <f>(Table26[[#This Row],[Canonical Score]]-AVERAGE(Table26[Canonical Score]))/STDEV(Table26[Canonical Score])</f>
        <v>0.90249877800171407</v>
      </c>
      <c r="O17" s="24">
        <f>RANK(Table26[[#This Row],[WHR Score]],Table26[WHR Score],0)</f>
        <v>6</v>
      </c>
      <c r="P17" s="24">
        <f>RANK(Table26[[#This Row],[WHR I+P Score]],Table26[WHR I+P Score],0)</f>
        <v>6</v>
      </c>
      <c r="Q17" s="24">
        <f>RANK(Table26[[#This Row],[Method I+P Score]],Table26[Method I+P Score],0)</f>
        <v>9</v>
      </c>
      <c r="R17" s="24">
        <f>RANK(Table26[[#This Row],[Canonical Score]],Table26[Canonical Score],0)</f>
        <v>9</v>
      </c>
      <c r="Z17">
        <v>9</v>
      </c>
      <c r="AA17" t="str">
        <f>INDEX(Table26[Fighter],MATCH(LARGE(Table26[WHR Score],9),Table26[WHR Score],0))</f>
        <v>Israel Adesanya</v>
      </c>
      <c r="AB17" s="17">
        <f>INDEX(Table26[z-Score WHR],MATCH($AA$17,Table26[Fighter],0))</f>
        <v>0.70737931296328127</v>
      </c>
      <c r="AC17" s="17">
        <f>INDEX(Table26[z-Score WHR I+P],MATCH($AA$17,Table26[Fighter],0))</f>
        <v>0.76016515560456266</v>
      </c>
      <c r="AD17" s="17">
        <f>INDEX(Table26[z-Method I+P],MATCH($AA$17,Table26[Fighter],0))</f>
        <v>1.2739719106161163</v>
      </c>
      <c r="AE17" s="17">
        <f>INDEX(Table26[z-Canonical Glicko2],MATCH($AA$17,Table26[Fighter],0))</f>
        <v>1.2240390253524289</v>
      </c>
      <c r="AF17">
        <f>INDEX(Table26[Rank WHR],MATCH($AA$17,Table26[Fighter],0))</f>
        <v>9</v>
      </c>
      <c r="AG17">
        <f>INDEX(Table26[Rank WHR I+P],MATCH($AA$17,Table26[Fighter],0))</f>
        <v>9</v>
      </c>
      <c r="AH17">
        <f>INDEX(Table26[Rank Method I+P],MATCH($AA$17,Table26[Fighter],0))</f>
        <v>7</v>
      </c>
      <c r="AI17">
        <f>INDEX(Table26[Rank Canonical],MATCH($AA$17,Table26[Fighter],0))</f>
        <v>5</v>
      </c>
      <c r="AJ17" s="20">
        <f t="shared" si="0"/>
        <v>7.5</v>
      </c>
      <c r="AK17">
        <f t="shared" si="1"/>
        <v>4</v>
      </c>
      <c r="AL17" s="17">
        <f t="shared" si="2"/>
        <v>0.56659259765283498</v>
      </c>
    </row>
    <row r="18" spans="4:38" x14ac:dyDescent="0.25">
      <c r="D18" s="2" t="s">
        <v>49</v>
      </c>
      <c r="E18" s="2" t="s">
        <v>39</v>
      </c>
      <c r="F18" s="8">
        <v>32</v>
      </c>
      <c r="G18" s="4">
        <v>1844.4</v>
      </c>
      <c r="H18" s="4">
        <v>1857.6</v>
      </c>
      <c r="I18" s="4">
        <v>2407.6</v>
      </c>
      <c r="J18" s="4">
        <v>2334.6</v>
      </c>
      <c r="K18" s="4">
        <f>(Table26[[#This Row],[WHR Score]]-AVERAGE(Table26[WHR Score]))/STDEV(Table26[WHR Score])</f>
        <v>0.41102006995309476</v>
      </c>
      <c r="L18" s="4">
        <f>(Table26[[#This Row],[WHR I+P Score]]-AVERAGE(Table26[WHR I+P Score]))/STDEV(Table26[WHR I+P Score])</f>
        <v>0.44478525437985489</v>
      </c>
      <c r="M18" s="4">
        <f>(Table26[[#This Row],[Method I+P Score]]-AVERAGE(Table26[Method I+P Score]))/STDEV(Table26[Method I+P Score])</f>
        <v>0.73061451508693387</v>
      </c>
      <c r="N18" s="4">
        <f>(Table26[[#This Row],[Canonical Score]]-AVERAGE(Table26[Canonical Score]))/STDEV(Table26[Canonical Score])</f>
        <v>0.67798189705857115</v>
      </c>
      <c r="O18" s="24">
        <f>RANK(Table26[[#This Row],[WHR Score]],Table26[WHR Score],0)</f>
        <v>13</v>
      </c>
      <c r="P18" s="24">
        <f>RANK(Table26[[#This Row],[WHR I+P Score]],Table26[WHR I+P Score],0)</f>
        <v>12</v>
      </c>
      <c r="Q18" s="24">
        <f>RANK(Table26[[#This Row],[Method I+P Score]],Table26[Method I+P Score],0)</f>
        <v>10</v>
      </c>
      <c r="R18" s="24">
        <f>RANK(Table26[[#This Row],[Canonical Score]],Table26[Canonical Score],0)</f>
        <v>10</v>
      </c>
      <c r="Z18">
        <v>10</v>
      </c>
      <c r="AA18" t="str">
        <f>INDEX(Table26[Fighter],MATCH(LARGE(Table26[WHR Score],10),Table26[WHR Score],0))</f>
        <v>Kamaru Usman</v>
      </c>
      <c r="AB18" s="17">
        <f>INDEX(Table26[z-Score WHR],MATCH($AA$18,Table26[Fighter],0))</f>
        <v>0.56991906833302342</v>
      </c>
      <c r="AC18" s="17">
        <f>INDEX(Table26[z-Score WHR I+P],MATCH($AA$18,Table26[Fighter],0))</f>
        <v>0.57219873447463854</v>
      </c>
      <c r="AD18" s="17">
        <f>INDEX(Table26[z-Method I+P],MATCH($AA$18,Table26[Fighter],0))</f>
        <v>0.95569715713027192</v>
      </c>
      <c r="AE18" s="17">
        <f>INDEX(Table26[z-Canonical Glicko2],MATCH($AA$18,Table26[Fighter],0))</f>
        <v>1.0773012067360197</v>
      </c>
      <c r="AF18">
        <f>INDEX(Table26[Rank WHR],MATCH($AA$18,Table26[Fighter],0))</f>
        <v>10</v>
      </c>
      <c r="AG18">
        <f>INDEX(Table26[Rank WHR I+P],MATCH($AA$18,Table26[Fighter],0))</f>
        <v>11</v>
      </c>
      <c r="AH18">
        <f>INDEX(Table26[Rank Method I+P],MATCH($AA$18,Table26[Fighter],0))</f>
        <v>8</v>
      </c>
      <c r="AI18">
        <f>INDEX(Table26[Rank Canonical],MATCH($AA$18,Table26[Fighter],0))</f>
        <v>8</v>
      </c>
      <c r="AJ18" s="20">
        <f t="shared" si="0"/>
        <v>9.25</v>
      </c>
      <c r="AK18">
        <f t="shared" si="1"/>
        <v>3</v>
      </c>
      <c r="AL18" s="17">
        <f t="shared" si="2"/>
        <v>0.50738213840299629</v>
      </c>
    </row>
    <row r="19" spans="4:38" x14ac:dyDescent="0.25">
      <c r="D19" s="2" t="s">
        <v>50</v>
      </c>
      <c r="E19" s="2" t="s">
        <v>43</v>
      </c>
      <c r="F19" s="8">
        <v>19</v>
      </c>
      <c r="G19" s="4">
        <v>1829.8</v>
      </c>
      <c r="H19" s="4">
        <v>1842.9</v>
      </c>
      <c r="I19" s="4">
        <v>2383.3000000000002</v>
      </c>
      <c r="J19" s="4">
        <v>2302.3000000000002</v>
      </c>
      <c r="K19" s="4">
        <f>(Table26[[#This Row],[WHR Score]]-AVERAGE(Table26[WHR Score]))/STDEV(Table26[WHR Score])</f>
        <v>0.2268990083382538</v>
      </c>
      <c r="L19" s="4">
        <f>(Table26[[#This Row],[WHR I+P Score]]-AVERAGE(Table26[WHR I+P Score]))/STDEV(Table26[WHR I+P Score])</f>
        <v>0.25934187245972901</v>
      </c>
      <c r="M19" s="4">
        <f>(Table26[[#This Row],[Method I+P Score]]-AVERAGE(Table26[Method I+P Score]))/STDEV(Table26[Method I+P Score])</f>
        <v>0.53870194660787929</v>
      </c>
      <c r="N19" s="4">
        <f>(Table26[[#This Row],[Canonical Score]]-AVERAGE(Table26[Canonical Score]))/STDEV(Table26[Canonical Score])</f>
        <v>0.41898563797059052</v>
      </c>
      <c r="O19" s="24">
        <f>RANK(Table26[[#This Row],[WHR Score]],Table26[WHR Score],0)</f>
        <v>15</v>
      </c>
      <c r="P19" s="24">
        <f>RANK(Table26[[#This Row],[WHR I+P Score]],Table26[WHR I+P Score],0)</f>
        <v>15</v>
      </c>
      <c r="Q19" s="24">
        <f>RANK(Table26[[#This Row],[Method I+P Score]],Table26[Method I+P Score],0)</f>
        <v>11</v>
      </c>
      <c r="R19" s="24">
        <f>RANK(Table26[[#This Row],[Canonical Score]],Table26[Canonical Score],0)</f>
        <v>12</v>
      </c>
      <c r="Z19">
        <v>11</v>
      </c>
      <c r="AA19" t="str">
        <f>INDEX(Table26[Fighter],MATCH(LARGE(Table26[WHR Score],11),Table26[WHR Score],0))</f>
        <v>Randy Couture</v>
      </c>
      <c r="AB19" s="17">
        <f>INDEX(Table26[z-Score WHR],MATCH($AA$19,Table26[Fighter],0))</f>
        <v>0.55983024303906015</v>
      </c>
      <c r="AC19" s="17">
        <f>INDEX(Table26[z-Score WHR I+P],MATCH($AA$19,Table26[Fighter],0))</f>
        <v>0.58733696973342508</v>
      </c>
      <c r="AD19" s="17">
        <f>INDEX(Table26[z-Method I+P],MATCH($AA$19,Table26[Fighter],0))</f>
        <v>-0.96737734594175684</v>
      </c>
      <c r="AE19" s="17">
        <f>INDEX(Table26[z-Canonical Glicko2],MATCH($AA$19,Table26[Fighter],0))</f>
        <v>-0.71241907278217942</v>
      </c>
      <c r="AF19">
        <f>INDEX(Table26[Rank WHR],MATCH($AA$19,Table26[Fighter],0))</f>
        <v>11</v>
      </c>
      <c r="AG19">
        <f>INDEX(Table26[Rank WHR I+P],MATCH($AA$19,Table26[Fighter],0))</f>
        <v>10</v>
      </c>
      <c r="AH19">
        <f>INDEX(Table26[Rank Method I+P],MATCH($AA$19,Table26[Fighter],0))</f>
        <v>33</v>
      </c>
      <c r="AI19">
        <f>INDEX(Table26[Rank Canonical],MATCH($AA$19,Table26[Fighter],0))</f>
        <v>27</v>
      </c>
      <c r="AJ19" s="20">
        <f t="shared" si="0"/>
        <v>20.25</v>
      </c>
      <c r="AK19">
        <f t="shared" si="1"/>
        <v>23</v>
      </c>
      <c r="AL19" s="17">
        <f t="shared" si="2"/>
        <v>1.5547143156751819</v>
      </c>
    </row>
    <row r="20" spans="4:38" x14ac:dyDescent="0.25">
      <c r="D20" s="3" t="s">
        <v>51</v>
      </c>
      <c r="E20" s="3" t="s">
        <v>41</v>
      </c>
      <c r="F20" s="9">
        <v>14</v>
      </c>
      <c r="G20" s="10">
        <v>1787.7</v>
      </c>
      <c r="H20" s="4">
        <v>1801.9</v>
      </c>
      <c r="I20" s="4">
        <v>2375.3000000000002</v>
      </c>
      <c r="J20" s="4">
        <v>2315.6999999999998</v>
      </c>
      <c r="K20" s="4">
        <f>(Table26[[#This Row],[WHR Score]]-AVERAGE(Table26[WHR Score]))/STDEV(Table26[WHR Score])</f>
        <v>-0.30402542275658972</v>
      </c>
      <c r="L20" s="4">
        <f>(Table26[[#This Row],[WHR I+P Score]]-AVERAGE(Table26[WHR I+P Score]))/STDEV(Table26[WHR I+P Score])</f>
        <v>-0.25788116554879181</v>
      </c>
      <c r="M20" s="4">
        <f>(Table26[[#This Row],[Method I+P Score]]-AVERAGE(Table26[Method I+P Score]))/STDEV(Table26[Method I+P Score])</f>
        <v>0.47552085410448619</v>
      </c>
      <c r="N20" s="4">
        <f>(Table26[[#This Row],[Canonical Score]]-AVERAGE(Table26[Canonical Score]))/STDEV(Table26[Canonical Score])</f>
        <v>0.5264330024219489</v>
      </c>
      <c r="O20" s="24">
        <f>RANK(Table26[[#This Row],[WHR Score]],Table26[WHR Score],0)</f>
        <v>20</v>
      </c>
      <c r="P20" s="24">
        <f>RANK(Table26[[#This Row],[WHR I+P Score]],Table26[WHR I+P Score],0)</f>
        <v>18</v>
      </c>
      <c r="Q20" s="24">
        <f>RANK(Table26[[#This Row],[Method I+P Score]],Table26[Method I+P Score],0)</f>
        <v>12</v>
      </c>
      <c r="R20" s="24">
        <f>RANK(Table26[[#This Row],[Canonical Score]],Table26[Canonical Score],0)</f>
        <v>11</v>
      </c>
      <c r="Z20">
        <v>12</v>
      </c>
      <c r="AA20" t="str">
        <f>INDEX(Table26[Fighter],MATCH(LARGE(Table26[WHR Score],12),Table26[WHR Score],0))</f>
        <v>Matt Hughes</v>
      </c>
      <c r="AB20" s="17">
        <f>INDEX(Table26[z-Score WHR],MATCH($AA$20,Table26[Fighter],0))</f>
        <v>0.48038074384909585</v>
      </c>
      <c r="AC20" s="17">
        <f>INDEX(Table26[z-Score WHR I+P],MATCH($AA$20,Table26[Fighter],0))</f>
        <v>0.43847765635536073</v>
      </c>
      <c r="AD20" s="17">
        <f>INDEX(Table26[z-Method I+P],MATCH($AA$20,Table26[Fighter],0))</f>
        <v>-1.17824424217183</v>
      </c>
      <c r="AE20" s="17">
        <f>INDEX(Table26[z-Canonical Glicko2],MATCH($AA$20,Table26[Fighter],0))</f>
        <v>-1.1606509886650942</v>
      </c>
      <c r="AF20">
        <f>INDEX(Table26[Rank WHR],MATCH($AA$20,Table26[Fighter],0))</f>
        <v>12</v>
      </c>
      <c r="AG20">
        <f>INDEX(Table26[Rank WHR I+P],MATCH($AA$20,Table26[Fighter],0))</f>
        <v>13</v>
      </c>
      <c r="AH20">
        <f>INDEX(Table26[Rank Method I+P],MATCH($AA$20,Table26[Fighter],0))</f>
        <v>34</v>
      </c>
      <c r="AI20">
        <f>INDEX(Table26[Rank Canonical],MATCH($AA$20,Table26[Fighter],0))</f>
        <v>35</v>
      </c>
      <c r="AJ20" s="20">
        <f t="shared" si="0"/>
        <v>23.5</v>
      </c>
      <c r="AK20">
        <f t="shared" si="1"/>
        <v>23</v>
      </c>
      <c r="AL20" s="17">
        <f t="shared" si="2"/>
        <v>1.6586249860209259</v>
      </c>
    </row>
    <row r="21" spans="4:38" x14ac:dyDescent="0.25">
      <c r="D21" s="3" t="s">
        <v>52</v>
      </c>
      <c r="E21" s="3" t="s">
        <v>33</v>
      </c>
      <c r="F21" s="9">
        <v>20</v>
      </c>
      <c r="G21" s="10">
        <v>1764.9</v>
      </c>
      <c r="H21" s="4">
        <v>1775.1</v>
      </c>
      <c r="I21" s="4">
        <v>2349.6</v>
      </c>
      <c r="J21" s="4">
        <v>2288.6999999999998</v>
      </c>
      <c r="K21" s="4">
        <f>(Table26[[#This Row],[WHR Score]]-AVERAGE(Table26[WHR Score]))/STDEV(Table26[WHR Score])</f>
        <v>-0.59155694363455724</v>
      </c>
      <c r="L21" s="4">
        <f>(Table26[[#This Row],[WHR I+P Score]]-AVERAGE(Table26[WHR I+P Score]))/STDEV(Table26[WHR I+P Score])</f>
        <v>-0.5959684196616809</v>
      </c>
      <c r="M21" s="4">
        <f>(Table26[[#This Row],[Method I+P Score]]-AVERAGE(Table26[Method I+P Score]))/STDEV(Table26[Method I+P Score])</f>
        <v>0.27255159443733357</v>
      </c>
      <c r="N21" s="4">
        <f>(Table26[[#This Row],[Canonical Score]]-AVERAGE(Table26[Canonical Score]))/STDEV(Table26[Canonical Score])</f>
        <v>0.30993458151248954</v>
      </c>
      <c r="O21" s="24">
        <f>RANK(Table26[[#This Row],[WHR Score]],Table26[WHR Score],0)</f>
        <v>28</v>
      </c>
      <c r="P21" s="24">
        <f>RANK(Table26[[#This Row],[WHR I+P Score]],Table26[WHR I+P Score],0)</f>
        <v>28</v>
      </c>
      <c r="Q21" s="24">
        <f>RANK(Table26[[#This Row],[Method I+P Score]],Table26[Method I+P Score],0)</f>
        <v>13</v>
      </c>
      <c r="R21" s="24">
        <f>RANK(Table26[[#This Row],[Canonical Score]],Table26[Canonical Score],0)</f>
        <v>13</v>
      </c>
      <c r="Z21">
        <v>13</v>
      </c>
      <c r="AA21" t="str">
        <f>INDEX(Table26[Fighter],MATCH(LARGE(Table26[WHR Score],13),Table26[WHR Score],0))</f>
        <v>Max Holloway</v>
      </c>
      <c r="AB21" s="17">
        <f>INDEX(Table26[z-Score WHR],MATCH($AA$21,Table26[Fighter],0))</f>
        <v>0.41102006995309476</v>
      </c>
      <c r="AC21" s="17">
        <f>INDEX(Table26[z-Score WHR I+P],MATCH($AA$21,Table26[Fighter],0))</f>
        <v>0.44478525437985489</v>
      </c>
      <c r="AD21" s="17">
        <f>INDEX(Table26[z-Method I+P],MATCH($AA$21,Table26[Fighter],0))</f>
        <v>0.73061451508693387</v>
      </c>
      <c r="AE21" s="17">
        <f>INDEX(Table26[z-Canonical Glicko2],MATCH($AA$21,Table26[Fighter],0))</f>
        <v>0.67798189705857115</v>
      </c>
      <c r="AF21">
        <f>INDEX(Table26[Rank WHR],MATCH($AA$21,Table26[Fighter],0))</f>
        <v>13</v>
      </c>
      <c r="AG21">
        <f>INDEX(Table26[Rank WHR I+P],MATCH($AA$21,Table26[Fighter],0))</f>
        <v>12</v>
      </c>
      <c r="AH21">
        <f>INDEX(Table26[Rank Method I+P],MATCH($AA$21,Table26[Fighter],0))</f>
        <v>10</v>
      </c>
      <c r="AI21">
        <f>INDEX(Table26[Rank Canonical],MATCH($AA$21,Table26[Fighter],0))</f>
        <v>10</v>
      </c>
      <c r="AJ21" s="20">
        <f t="shared" si="0"/>
        <v>11.25</v>
      </c>
      <c r="AK21">
        <f t="shared" si="1"/>
        <v>3</v>
      </c>
      <c r="AL21" s="17">
        <f t="shared" si="2"/>
        <v>0.31959444513383911</v>
      </c>
    </row>
    <row r="22" spans="4:38" x14ac:dyDescent="0.25">
      <c r="D22" s="2" t="s">
        <v>53</v>
      </c>
      <c r="E22" s="2" t="s">
        <v>39</v>
      </c>
      <c r="F22" s="8">
        <v>14</v>
      </c>
      <c r="G22" s="4">
        <v>1774.9</v>
      </c>
      <c r="H22" s="4">
        <v>1788.2</v>
      </c>
      <c r="I22" s="4">
        <v>2330.1999999999998</v>
      </c>
      <c r="J22" s="4">
        <v>2271</v>
      </c>
      <c r="K22" s="4">
        <f>(Table26[[#This Row],[WHR Score]]-AVERAGE(Table26[WHR Score]))/STDEV(Table26[WHR Score])</f>
        <v>-0.46544662746000987</v>
      </c>
      <c r="L22" s="4">
        <f>(Table26[[#This Row],[WHR I+P Score]]-AVERAGE(Table26[WHR I+P Score]))/STDEV(Table26[WHR I+P Score])</f>
        <v>-0.43070935141993227</v>
      </c>
      <c r="M22" s="4">
        <f>(Table26[[#This Row],[Method I+P Score]]-AVERAGE(Table26[Method I+P Score]))/STDEV(Table26[Method I+P Score])</f>
        <v>0.11933744511660446</v>
      </c>
      <c r="N22" s="4">
        <f>(Table26[[#This Row],[Canonical Score]]-AVERAGE(Table26[Canonical Score]))/STDEV(Table26[Canonical Score])</f>
        <v>0.1680078389162899</v>
      </c>
      <c r="O22" s="24">
        <f>RANK(Table26[[#This Row],[WHR Score]],Table26[WHR Score],0)</f>
        <v>23</v>
      </c>
      <c r="P22" s="24">
        <f>RANK(Table26[[#This Row],[WHR I+P Score]],Table26[WHR I+P Score],0)</f>
        <v>22</v>
      </c>
      <c r="Q22" s="24">
        <f>RANK(Table26[[#This Row],[Method I+P Score]],Table26[Method I+P Score],0)</f>
        <v>14</v>
      </c>
      <c r="R22" s="24">
        <f>RANK(Table26[[#This Row],[Canonical Score]],Table26[Canonical Score],0)</f>
        <v>15</v>
      </c>
      <c r="Z22">
        <v>14</v>
      </c>
      <c r="AA22" t="str">
        <f>INDEX(Table26[Fighter],MATCH(LARGE(Table26[WHR Score],14),Table26[WHR Score],0))</f>
        <v>Khabib Nurmagomedov</v>
      </c>
      <c r="AB22" s="17">
        <f>INDEX(Table26[z-Score WHR],MATCH($AA$22,Table26[Fighter],0))</f>
        <v>0.31265402333694547</v>
      </c>
      <c r="AC22" s="17">
        <f>INDEX(Table26[z-Score WHR I+P],MATCH($AA$22,Table26[Fighter],0))</f>
        <v>0.26817250969401851</v>
      </c>
      <c r="AD22" s="17">
        <f>INDEX(Table26[z-Method I+P],MATCH($AA$22,Table26[Fighter],0))</f>
        <v>-1.6501903765689357E-2</v>
      </c>
      <c r="AE22" s="17">
        <f>INDEX(Table26[z-Canonical Glicko2],MATCH($AA$22,Table26[Fighter],0))</f>
        <v>0.10065277463334628</v>
      </c>
      <c r="AF22">
        <f>INDEX(Table26[Rank WHR],MATCH($AA$22,Table26[Fighter],0))</f>
        <v>14</v>
      </c>
      <c r="AG22">
        <f>INDEX(Table26[Rank WHR I+P],MATCH($AA$22,Table26[Fighter],0))</f>
        <v>14</v>
      </c>
      <c r="AH22">
        <f>INDEX(Table26[Rank Method I+P],MATCH($AA$22,Table26[Fighter],0))</f>
        <v>17</v>
      </c>
      <c r="AI22">
        <f>INDEX(Table26[Rank Canonical],MATCH($AA$22,Table26[Fighter],0))</f>
        <v>16</v>
      </c>
      <c r="AJ22" s="20">
        <f t="shared" si="0"/>
        <v>15.25</v>
      </c>
      <c r="AK22">
        <f t="shared" si="1"/>
        <v>3</v>
      </c>
      <c r="AL22" s="17">
        <f t="shared" si="2"/>
        <v>0.32915592710263486</v>
      </c>
    </row>
    <row r="23" spans="4:38" x14ac:dyDescent="0.25">
      <c r="D23" s="3" t="s">
        <v>54</v>
      </c>
      <c r="E23" s="3" t="s">
        <v>41</v>
      </c>
      <c r="F23" s="9">
        <v>30</v>
      </c>
      <c r="G23" s="10">
        <v>1772.7</v>
      </c>
      <c r="H23" s="4">
        <v>1780.2</v>
      </c>
      <c r="I23" s="4">
        <v>2325.4</v>
      </c>
      <c r="J23" s="4">
        <v>2262.6</v>
      </c>
      <c r="K23" s="4">
        <f>(Table26[[#This Row],[WHR Score]]-AVERAGE(Table26[WHR Score]))/STDEV(Table26[WHR Score])</f>
        <v>-0.49319089701841085</v>
      </c>
      <c r="L23" s="4">
        <f>(Table26[[#This Row],[WHR I+P Score]]-AVERAGE(Table26[WHR I+P Score]))/STDEV(Table26[WHR I+P Score])</f>
        <v>-0.53163091981183874</v>
      </c>
      <c r="M23" s="4">
        <f>(Table26[[#This Row],[Method I+P Score]]-AVERAGE(Table26[Method I+P Score]))/STDEV(Table26[Method I+P Score])</f>
        <v>8.1428789614570729E-2</v>
      </c>
      <c r="N23" s="4">
        <f>(Table26[[#This Row],[Canonical Score]]-AVERAGE(Table26[Canonical Score]))/STDEV(Table26[Canonical Score])</f>
        <v>0.10065277463334628</v>
      </c>
      <c r="O23" s="24">
        <f>RANK(Table26[[#This Row],[WHR Score]],Table26[WHR Score],0)</f>
        <v>26</v>
      </c>
      <c r="P23" s="24">
        <f>RANK(Table26[[#This Row],[WHR I+P Score]],Table26[WHR I+P Score],0)</f>
        <v>27</v>
      </c>
      <c r="Q23" s="24">
        <f>RANK(Table26[[#This Row],[Method I+P Score]],Table26[Method I+P Score],0)</f>
        <v>15</v>
      </c>
      <c r="R23" s="24">
        <f>RANK(Table26[[#This Row],[Canonical Score]],Table26[Canonical Score],0)</f>
        <v>16</v>
      </c>
      <c r="Z23">
        <v>15</v>
      </c>
      <c r="AA23" t="str">
        <f>INDEX(Table26[Fighter],MATCH(LARGE(Table26[WHR Score],15),Table26[WHR Score],0))</f>
        <v>Stipe Miocic</v>
      </c>
      <c r="AB23" s="17">
        <f>INDEX(Table26[z-Score WHR],MATCH($AA$23,Table26[Fighter],0))</f>
        <v>0.2268990083382538</v>
      </c>
      <c r="AC23" s="17">
        <f>INDEX(Table26[z-Score WHR I+P],MATCH($AA$23,Table26[Fighter],0))</f>
        <v>0.25934187245972901</v>
      </c>
      <c r="AD23" s="17">
        <f>INDEX(Table26[z-Method I+P],MATCH($AA$23,Table26[Fighter],0))</f>
        <v>0.53870194660787929</v>
      </c>
      <c r="AE23" s="17">
        <f>INDEX(Table26[z-Canonical Glicko2],MATCH($AA$23,Table26[Fighter],0))</f>
        <v>0.41898563797059052</v>
      </c>
      <c r="AF23">
        <f>INDEX(Table26[Rank WHR],MATCH($AA$23,Table26[Fighter],0))</f>
        <v>15</v>
      </c>
      <c r="AG23">
        <f>INDEX(Table26[Rank WHR I+P],MATCH($AA$23,Table26[Fighter],0))</f>
        <v>15</v>
      </c>
      <c r="AH23">
        <f>INDEX(Table26[Rank Method I+P],MATCH($AA$23,Table26[Fighter],0))</f>
        <v>11</v>
      </c>
      <c r="AI23">
        <f>INDEX(Table26[Rank Canonical],MATCH($AA$23,Table26[Fighter],0))</f>
        <v>12</v>
      </c>
      <c r="AJ23" s="20">
        <f t="shared" si="0"/>
        <v>13.25</v>
      </c>
      <c r="AK23">
        <f t="shared" si="1"/>
        <v>4</v>
      </c>
      <c r="AL23" s="17">
        <f t="shared" si="2"/>
        <v>0.31180293826962546</v>
      </c>
    </row>
    <row r="24" spans="4:38" x14ac:dyDescent="0.25">
      <c r="D24" s="10" t="s">
        <v>55</v>
      </c>
      <c r="E24" s="3" t="s">
        <v>43</v>
      </c>
      <c r="F24" s="9">
        <v>23</v>
      </c>
      <c r="G24" s="10">
        <v>1743.4</v>
      </c>
      <c r="H24" s="4">
        <v>1752.2</v>
      </c>
      <c r="I24" s="4">
        <v>2314.5</v>
      </c>
      <c r="J24" s="4">
        <v>2235.1</v>
      </c>
      <c r="K24" s="4">
        <f>(Table26[[#This Row],[WHR Score]]-AVERAGE(Table26[WHR Score]))/STDEV(Table26[WHR Score])</f>
        <v>-0.8626941234098342</v>
      </c>
      <c r="L24" s="4">
        <f>(Table26[[#This Row],[WHR I+P Score]]-AVERAGE(Table26[WHR I+P Score]))/STDEV(Table26[WHR I+P Score])</f>
        <v>-0.88485640918351149</v>
      </c>
      <c r="M24" s="4">
        <f>(Table26[[#This Row],[Method I+P Score]]-AVERAGE(Table26[Method I+P Score]))/STDEV(Table26[Method I+P Score])</f>
        <v>-4.6554489213031444E-3</v>
      </c>
      <c r="N24" s="4">
        <f>(Table26[[#This Row],[Canonical Score]]-AVERAGE(Table26[Canonical Score]))/STDEV(Table26[Canonical Score])</f>
        <v>-0.11985487629295488</v>
      </c>
      <c r="O24" s="24">
        <f>RANK(Table26[[#This Row],[WHR Score]],Table26[WHR Score],0)</f>
        <v>31</v>
      </c>
      <c r="P24" s="24">
        <f>RANK(Table26[[#This Row],[WHR I+P Score]],Table26[WHR I+P Score],0)</f>
        <v>32</v>
      </c>
      <c r="Q24" s="24">
        <f>RANK(Table26[[#This Row],[Method I+P Score]],Table26[Method I+P Score],0)</f>
        <v>16</v>
      </c>
      <c r="R24" s="24">
        <f>RANK(Table26[[#This Row],[Canonical Score]],Table26[Canonical Score],0)</f>
        <v>19</v>
      </c>
      <c r="Z24">
        <v>16</v>
      </c>
      <c r="AA24" t="str">
        <f>INDEX(Table26[Fighter],MATCH(LARGE(Table26[WHR Score],16),Table26[WHR Score],0))</f>
        <v>BJ Penn</v>
      </c>
      <c r="AB24" s="17">
        <f>INDEX(Table26[z-Score WHR],MATCH($AA$24,Table26[Fighter],0))</f>
        <v>9.3222073193234681E-2</v>
      </c>
      <c r="AC24" s="17">
        <f>INDEX(Table26[z-Score WHR I+P],MATCH($AA$24,Table26[Fighter],0))</f>
        <v>7.2636970934699674E-2</v>
      </c>
      <c r="AD24" s="17">
        <f>INDEX(Table26[z-Method I+P],MATCH($AA$24,Table26[Fighter],0))</f>
        <v>-0.71149392130301392</v>
      </c>
      <c r="AE24" s="17">
        <f>INDEX(Table26[z-Canonical Glicko2],MATCH($AA$24,Table26[Fighter],0))</f>
        <v>-0.65468616053965478</v>
      </c>
      <c r="AF24">
        <f>INDEX(Table26[Rank WHR],MATCH($AA$24,Table26[Fighter],0))</f>
        <v>16</v>
      </c>
      <c r="AG24">
        <f>INDEX(Table26[Rank WHR I+P],MATCH($AA$24,Table26[Fighter],0))</f>
        <v>16</v>
      </c>
      <c r="AH24">
        <f>INDEX(Table26[Rank Method I+P],MATCH($AA$24,Table26[Fighter],0))</f>
        <v>29</v>
      </c>
      <c r="AI24">
        <f>INDEX(Table26[Rank Canonical],MATCH($AA$24,Table26[Fighter],0))</f>
        <v>26</v>
      </c>
      <c r="AJ24" s="20">
        <f t="shared" si="0"/>
        <v>21.75</v>
      </c>
      <c r="AK24">
        <f t="shared" si="1"/>
        <v>13</v>
      </c>
      <c r="AL24" s="17">
        <f t="shared" si="2"/>
        <v>0.80471599449624864</v>
      </c>
    </row>
    <row r="25" spans="4:38" x14ac:dyDescent="0.25">
      <c r="D25" s="3" t="s">
        <v>56</v>
      </c>
      <c r="E25" s="3" t="s">
        <v>41</v>
      </c>
      <c r="F25" s="9">
        <v>13</v>
      </c>
      <c r="G25" s="10">
        <v>1836.6</v>
      </c>
      <c r="H25" s="4">
        <v>1843.6</v>
      </c>
      <c r="I25" s="4">
        <v>2313</v>
      </c>
      <c r="J25" s="4">
        <v>2262.6</v>
      </c>
      <c r="K25" s="4">
        <f>(Table26[[#This Row],[WHR Score]]-AVERAGE(Table26[WHR Score]))/STDEV(Table26[WHR Score])</f>
        <v>0.31265402333694547</v>
      </c>
      <c r="L25" s="4">
        <f>(Table26[[#This Row],[WHR I+P Score]]-AVERAGE(Table26[WHR I+P Score]))/STDEV(Table26[WHR I+P Score])</f>
        <v>0.26817250969401851</v>
      </c>
      <c r="M25" s="4">
        <f>(Table26[[#This Row],[Method I+P Score]]-AVERAGE(Table26[Method I+P Score]))/STDEV(Table26[Method I+P Score])</f>
        <v>-1.6501903765689357E-2</v>
      </c>
      <c r="N25" s="4">
        <f>(Table26[[#This Row],[Canonical Score]]-AVERAGE(Table26[Canonical Score]))/STDEV(Table26[Canonical Score])</f>
        <v>0.10065277463334628</v>
      </c>
      <c r="O25" s="24">
        <f>RANK(Table26[[#This Row],[WHR Score]],Table26[WHR Score],0)</f>
        <v>14</v>
      </c>
      <c r="P25" s="24">
        <f>RANK(Table26[[#This Row],[WHR I+P Score]],Table26[WHR I+P Score],0)</f>
        <v>14</v>
      </c>
      <c r="Q25" s="24">
        <f>RANK(Table26[[#This Row],[Method I+P Score]],Table26[Method I+P Score],0)</f>
        <v>17</v>
      </c>
      <c r="R25" s="24">
        <f>RANK(Table26[[#This Row],[Canonical Score]],Table26[Canonical Score],0)</f>
        <v>16</v>
      </c>
      <c r="Z25">
        <v>17</v>
      </c>
      <c r="AA25" t="str">
        <f>INDEX(Table26[Fighter],MATCH(LARGE(Table26[WHR Score],17),Table26[WHR Score],0))</f>
        <v>TJ Dillashaw</v>
      </c>
      <c r="AB25" s="17">
        <f>INDEX(Table26[z-Score WHR],MATCH($AA$25,Table26[Fighter],0))</f>
        <v>-7.3243544157168494E-2</v>
      </c>
      <c r="AC25" s="17">
        <f>INDEX(Table26[z-Score WHR I+P],MATCH($AA$25,Table26[Fighter],0))</f>
        <v>-9.7668175726642534E-2</v>
      </c>
      <c r="AD25" s="17">
        <f>INDEX(Table26[z-Method I+P],MATCH($AA$25,Table26[Fighter],0))</f>
        <v>-0.75808997702426706</v>
      </c>
      <c r="AE25" s="17">
        <f>INDEX(Table26[z-Canonical Glicko2],MATCH($AA$25,Table26[Fighter],0))</f>
        <v>-0.71241907278217942</v>
      </c>
      <c r="AF25">
        <f>INDEX(Table26[Rank WHR],MATCH($AA$25,Table26[Fighter],0))</f>
        <v>17</v>
      </c>
      <c r="AG25">
        <f>INDEX(Table26[Rank WHR I+P],MATCH($AA$25,Table26[Fighter],0))</f>
        <v>17</v>
      </c>
      <c r="AH25">
        <f>INDEX(Table26[Rank Method I+P],MATCH($AA$25,Table26[Fighter],0))</f>
        <v>31</v>
      </c>
      <c r="AI25">
        <f>INDEX(Table26[Rank Canonical],MATCH($AA$25,Table26[Fighter],0))</f>
        <v>27</v>
      </c>
      <c r="AJ25" s="20">
        <f t="shared" si="0"/>
        <v>23</v>
      </c>
      <c r="AK25">
        <f t="shared" si="1"/>
        <v>14</v>
      </c>
      <c r="AL25" s="17">
        <f t="shared" si="2"/>
        <v>0.68484643286709856</v>
      </c>
    </row>
    <row r="26" spans="4:38" x14ac:dyDescent="0.25">
      <c r="D26" s="3" t="s">
        <v>57</v>
      </c>
      <c r="E26" s="3" t="s">
        <v>45</v>
      </c>
      <c r="F26" s="9">
        <v>18</v>
      </c>
      <c r="G26" s="10">
        <v>1933.6</v>
      </c>
      <c r="H26" s="4">
        <v>1941</v>
      </c>
      <c r="I26" s="4">
        <v>2311.4</v>
      </c>
      <c r="J26" s="4">
        <v>2273.1</v>
      </c>
      <c r="K26" s="4">
        <f>(Table26[[#This Row],[WHR Score]]-AVERAGE(Table26[WHR Score]))/STDEV(Table26[WHR Score])</f>
        <v>1.5359240902300555</v>
      </c>
      <c r="L26" s="4">
        <f>(Table26[[#This Row],[WHR I+P Score]]-AVERAGE(Table26[WHR I+P Score]))/STDEV(Table26[WHR I+P Score])</f>
        <v>1.4968926048654811</v>
      </c>
      <c r="M26" s="4">
        <f>(Table26[[#This Row],[Method I+P Score]]-AVERAGE(Table26[Method I+P Score]))/STDEV(Table26[Method I+P Score])</f>
        <v>-2.9138122266367267E-2</v>
      </c>
      <c r="N26" s="4">
        <f>(Table26[[#This Row],[Canonical Score]]-AVERAGE(Table26[Canonical Score]))/STDEV(Table26[Canonical Score])</f>
        <v>0.1848466049870249</v>
      </c>
      <c r="O26" s="24">
        <f>RANK(Table26[[#This Row],[WHR Score]],Table26[WHR Score],0)</f>
        <v>4</v>
      </c>
      <c r="P26" s="24">
        <f>RANK(Table26[[#This Row],[WHR I+P Score]],Table26[WHR I+P Score],0)</f>
        <v>4</v>
      </c>
      <c r="Q26" s="24">
        <f>RANK(Table26[[#This Row],[Method I+P Score]],Table26[Method I+P Score],0)</f>
        <v>18</v>
      </c>
      <c r="R26" s="24">
        <f>RANK(Table26[[#This Row],[Canonical Score]],Table26[Canonical Score],0)</f>
        <v>14</v>
      </c>
      <c r="Z26">
        <v>18</v>
      </c>
      <c r="AA26" t="str">
        <f>INDEX(Table26[Fighter],MATCH(LARGE(Table26[WHR Score],18),Table26[WHR Score],0))</f>
        <v>Henry Cejudo</v>
      </c>
      <c r="AB26" s="17">
        <f>INDEX(Table26[z-Score WHR],MATCH($AA$26,Table26[Fighter],0))</f>
        <v>-0.28132556584517177</v>
      </c>
      <c r="AC26" s="17">
        <f>INDEX(Table26[z-Score WHR I+P],MATCH($AA$26,Table26[Fighter],0))</f>
        <v>-0.28185003804187075</v>
      </c>
      <c r="AD26" s="17">
        <f>INDEX(Table26[z-Method I+P],MATCH($AA$26,Table26[Fighter],0))</f>
        <v>-0.47772387904046004</v>
      </c>
      <c r="AE26" s="17">
        <f>INDEX(Table26[z-Canonical Glicko2],MATCH($AA$26,Table26[Fighter],0))</f>
        <v>-0.46785604175482726</v>
      </c>
      <c r="AF26">
        <f>INDEX(Table26[Rank WHR],MATCH($AA$26,Table26[Fighter],0))</f>
        <v>18</v>
      </c>
      <c r="AG26">
        <f>INDEX(Table26[Rank WHR I+P],MATCH($AA$26,Table26[Fighter],0))</f>
        <v>20</v>
      </c>
      <c r="AH26">
        <f>INDEX(Table26[Rank Method I+P],MATCH($AA$26,Table26[Fighter],0))</f>
        <v>22</v>
      </c>
      <c r="AI26">
        <f>INDEX(Table26[Rank Canonical],MATCH($AA$26,Table26[Fighter],0))</f>
        <v>21</v>
      </c>
      <c r="AJ26" s="20">
        <f t="shared" si="0"/>
        <v>20.25</v>
      </c>
      <c r="AK26">
        <f t="shared" si="1"/>
        <v>4</v>
      </c>
      <c r="AL26" s="17">
        <f t="shared" si="2"/>
        <v>0.19639831319528828</v>
      </c>
    </row>
    <row r="27" spans="4:38" x14ac:dyDescent="0.25">
      <c r="D27" s="2" t="s">
        <v>58</v>
      </c>
      <c r="E27" s="2" t="s">
        <v>43</v>
      </c>
      <c r="F27" s="8">
        <v>15</v>
      </c>
      <c r="G27" s="4">
        <v>1786</v>
      </c>
      <c r="H27" s="4">
        <v>1788.2</v>
      </c>
      <c r="I27" s="4">
        <v>2293.8000000000002</v>
      </c>
      <c r="J27" s="4">
        <v>2244.8000000000002</v>
      </c>
      <c r="K27" s="4">
        <f>(Table26[[#This Row],[WHR Score]]-AVERAGE(Table26[WHR Score]))/STDEV(Table26[WHR Score])</f>
        <v>-0.32546417650626336</v>
      </c>
      <c r="L27" s="4">
        <f>(Table26[[#This Row],[WHR I+P Score]]-AVERAGE(Table26[WHR I+P Score]))/STDEV(Table26[WHR I+P Score])</f>
        <v>-0.43070935141993227</v>
      </c>
      <c r="M27" s="4">
        <f>(Table26[[#This Row],[Method I+P Score]]-AVERAGE(Table26[Method I+P Score]))/STDEV(Table26[Method I+P Score])</f>
        <v>-0.16813652577383145</v>
      </c>
      <c r="N27" s="4">
        <f>(Table26[[#This Row],[Canonical Score]]-AVERAGE(Table26[Canonical Score]))/STDEV(Table26[Canonical Score])</f>
        <v>-4.2075813966221016E-2</v>
      </c>
      <c r="O27" s="24">
        <f>RANK(Table26[[#This Row],[WHR Score]],Table26[WHR Score],0)</f>
        <v>21</v>
      </c>
      <c r="P27" s="24">
        <f>RANK(Table26[[#This Row],[WHR I+P Score]],Table26[WHR I+P Score],0)</f>
        <v>22</v>
      </c>
      <c r="Q27" s="24">
        <f>RANK(Table26[[#This Row],[Method I+P Score]],Table26[Method I+P Score],0)</f>
        <v>19</v>
      </c>
      <c r="R27" s="24">
        <f>RANK(Table26[[#This Row],[Canonical Score]],Table26[Canonical Score],0)</f>
        <v>18</v>
      </c>
      <c r="Z27">
        <v>19</v>
      </c>
      <c r="AA27" t="str">
        <f>INDEX(Table26[Fighter],MATCH(LARGE(Table26[WHR Score],19),Table26[WHR Score],0))</f>
        <v>Aljamain Sterling</v>
      </c>
      <c r="AB27" s="17">
        <f>INDEX(Table26[z-Score WHR],MATCH($AA$27,Table26[Fighter],0))</f>
        <v>-0.28258666900691609</v>
      </c>
      <c r="AC27" s="17">
        <f>INDEX(Table26[z-Score WHR I+P],MATCH($AA$27,Table26[Fighter],0))</f>
        <v>-0.27806547922717484</v>
      </c>
      <c r="AD27" s="17">
        <f>INDEX(Table26[z-Method I+P],MATCH($AA$27,Table26[Fighter],0))</f>
        <v>-0.37979318566019993</v>
      </c>
      <c r="AE27" s="17">
        <f>INDEX(Table26[z-Canonical Glicko2],MATCH($AA$27,Table26[Fighter],0))</f>
        <v>-0.39809543946177706</v>
      </c>
      <c r="AF27">
        <f>INDEX(Table26[Rank WHR],MATCH($AA$27,Table26[Fighter],0))</f>
        <v>19</v>
      </c>
      <c r="AG27">
        <f>INDEX(Table26[Rank WHR I+P],MATCH($AA$27,Table26[Fighter],0))</f>
        <v>19</v>
      </c>
      <c r="AH27">
        <f>INDEX(Table26[Rank Method I+P],MATCH($AA$27,Table26[Fighter],0))</f>
        <v>20</v>
      </c>
      <c r="AI27">
        <f>INDEX(Table26[Rank Canonical],MATCH($AA$27,Table26[Fighter],0))</f>
        <v>20</v>
      </c>
      <c r="AJ27" s="20">
        <f t="shared" si="0"/>
        <v>19.5</v>
      </c>
      <c r="AK27">
        <f t="shared" si="1"/>
        <v>1</v>
      </c>
      <c r="AL27" s="17">
        <f t="shared" si="2"/>
        <v>0.12002996023460222</v>
      </c>
    </row>
    <row r="28" spans="4:38" x14ac:dyDescent="0.25">
      <c r="D28" s="2" t="s">
        <v>59</v>
      </c>
      <c r="E28" s="2" t="s">
        <v>47</v>
      </c>
      <c r="F28" s="8">
        <v>23</v>
      </c>
      <c r="G28" s="4">
        <v>1789.4</v>
      </c>
      <c r="H28" s="4">
        <v>1800.3</v>
      </c>
      <c r="I28" s="4">
        <v>2267</v>
      </c>
      <c r="J28" s="4">
        <v>2200.4</v>
      </c>
      <c r="K28" s="4">
        <f>(Table26[[#This Row],[WHR Score]]-AVERAGE(Table26[WHR Score]))/STDEV(Table26[WHR Score])</f>
        <v>-0.28258666900691609</v>
      </c>
      <c r="L28" s="4">
        <f>(Table26[[#This Row],[WHR I+P Score]]-AVERAGE(Table26[WHR I+P Score]))/STDEV(Table26[WHR I+P Score])</f>
        <v>-0.27806547922717484</v>
      </c>
      <c r="M28" s="4">
        <f>(Table26[[#This Row],[Method I+P Score]]-AVERAGE(Table26[Method I+P Score]))/STDEV(Table26[Method I+P Score])</f>
        <v>-0.37979318566019993</v>
      </c>
      <c r="N28" s="4">
        <f>(Table26[[#This Row],[Canonical Score]]-AVERAGE(Table26[Canonical Score]))/STDEV(Table26[Canonical Score])</f>
        <v>-0.39809543946177706</v>
      </c>
      <c r="O28" s="24">
        <f>RANK(Table26[[#This Row],[WHR Score]],Table26[WHR Score],0)</f>
        <v>19</v>
      </c>
      <c r="P28" s="24">
        <f>RANK(Table26[[#This Row],[WHR I+P Score]],Table26[WHR I+P Score],0)</f>
        <v>19</v>
      </c>
      <c r="Q28" s="24">
        <f>RANK(Table26[[#This Row],[Method I+P Score]],Table26[Method I+P Score],0)</f>
        <v>20</v>
      </c>
      <c r="R28" s="24">
        <f>RANK(Table26[[#This Row],[Canonical Score]],Table26[Canonical Score],0)</f>
        <v>20</v>
      </c>
      <c r="Z28">
        <v>20</v>
      </c>
      <c r="AA28" t="str">
        <f>INDEX(Table26[Fighter],MATCH(LARGE(Table26[WHR Score],20),Table26[WHR Score],0))</f>
        <v>Benson Henderson</v>
      </c>
      <c r="AB28" s="17">
        <f>INDEX(Table26[z-Score WHR],MATCH($AA$28,Table26[Fighter],0))</f>
        <v>-0.30402542275658972</v>
      </c>
      <c r="AC28" s="17">
        <f>INDEX(Table26[z-Score WHR I+P],MATCH($AA$28,Table26[Fighter],0))</f>
        <v>-0.25788116554879181</v>
      </c>
      <c r="AD28" s="17">
        <f>INDEX(Table26[z-Method I+P],MATCH($AA$28,Table26[Fighter],0))</f>
        <v>0.47552085410448619</v>
      </c>
      <c r="AE28" s="17">
        <f>INDEX(Table26[z-Canonical Glicko2],MATCH($AA$28,Table26[Fighter],0))</f>
        <v>0.5264330024219489</v>
      </c>
      <c r="AF28">
        <f>INDEX(Table26[Rank WHR],MATCH($AA$28,Table26[Fighter],0))</f>
        <v>20</v>
      </c>
      <c r="AG28">
        <f>INDEX(Table26[Rank WHR I+P],MATCH($AA$28,Table26[Fighter],0))</f>
        <v>18</v>
      </c>
      <c r="AH28">
        <f>INDEX(Table26[Rank Method I+P],MATCH($AA$28,Table26[Fighter],0))</f>
        <v>12</v>
      </c>
      <c r="AI28">
        <f>INDEX(Table26[Rank Canonical],MATCH($AA$28,Table26[Fighter],0))</f>
        <v>11</v>
      </c>
      <c r="AJ28" s="20">
        <f t="shared" si="0"/>
        <v>15.25</v>
      </c>
      <c r="AK28">
        <f t="shared" si="1"/>
        <v>9</v>
      </c>
      <c r="AL28" s="17">
        <f t="shared" si="2"/>
        <v>0.83045842517853863</v>
      </c>
    </row>
    <row r="29" spans="4:38" x14ac:dyDescent="0.25">
      <c r="D29" s="10" t="s">
        <v>60</v>
      </c>
      <c r="E29" s="3" t="s">
        <v>45</v>
      </c>
      <c r="F29" s="9">
        <v>21</v>
      </c>
      <c r="G29" s="10">
        <v>1737.6</v>
      </c>
      <c r="H29" s="4">
        <v>1748.1</v>
      </c>
      <c r="I29" s="4">
        <v>2258.8000000000002</v>
      </c>
      <c r="J29" s="4">
        <v>2187.8000000000002</v>
      </c>
      <c r="K29" s="4">
        <f>(Table26[[#This Row],[WHR Score]]-AVERAGE(Table26[WHR Score]))/STDEV(Table26[WHR Score])</f>
        <v>-0.93583810679107404</v>
      </c>
      <c r="L29" s="4">
        <f>(Table26[[#This Row],[WHR I+P Score]]-AVERAGE(Table26[WHR I+P Score]))/STDEV(Table26[WHR I+P Score])</f>
        <v>-0.93657871298436524</v>
      </c>
      <c r="M29" s="4">
        <f>(Table26[[#This Row],[Method I+P Score]]-AVERAGE(Table26[Method I+P Score]))/STDEV(Table26[Method I+P Score])</f>
        <v>-0.44455380547617646</v>
      </c>
      <c r="N29" s="4">
        <f>(Table26[[#This Row],[Canonical Score]]-AVERAGE(Table26[Canonical Score]))/STDEV(Table26[Canonical Score])</f>
        <v>-0.4991280358861907</v>
      </c>
      <c r="O29" s="24">
        <f>RANK(Table26[[#This Row],[WHR Score]],Table26[WHR Score],0)</f>
        <v>33</v>
      </c>
      <c r="P29" s="24">
        <f>RANK(Table26[[#This Row],[WHR I+P Score]],Table26[WHR I+P Score],0)</f>
        <v>33</v>
      </c>
      <c r="Q29" s="24">
        <f>RANK(Table26[[#This Row],[Method I+P Score]],Table26[Method I+P Score],0)</f>
        <v>21</v>
      </c>
      <c r="R29" s="24">
        <f>RANK(Table26[[#This Row],[Canonical Score]],Table26[Canonical Score],0)</f>
        <v>22</v>
      </c>
    </row>
    <row r="30" spans="4:38" x14ac:dyDescent="0.25">
      <c r="D30" s="3" t="s">
        <v>61</v>
      </c>
      <c r="E30" s="3" t="s">
        <v>45</v>
      </c>
      <c r="F30" s="9">
        <v>16</v>
      </c>
      <c r="G30" s="10">
        <v>1789.5</v>
      </c>
      <c r="H30" s="4">
        <v>1800</v>
      </c>
      <c r="I30" s="4">
        <v>2254.6</v>
      </c>
      <c r="J30" s="4">
        <v>2191.6999999999998</v>
      </c>
      <c r="K30" s="4">
        <f>(Table26[[#This Row],[WHR Score]]-AVERAGE(Table26[WHR Score]))/STDEV(Table26[WHR Score])</f>
        <v>-0.28132556584517177</v>
      </c>
      <c r="L30" s="4">
        <f>(Table26[[#This Row],[WHR I+P Score]]-AVERAGE(Table26[WHR I+P Score]))/STDEV(Table26[WHR I+P Score])</f>
        <v>-0.28185003804187075</v>
      </c>
      <c r="M30" s="4">
        <f>(Table26[[#This Row],[Method I+P Score]]-AVERAGE(Table26[Method I+P Score]))/STDEV(Table26[Method I+P Score])</f>
        <v>-0.47772387904046004</v>
      </c>
      <c r="N30" s="4">
        <f>(Table26[[#This Row],[Canonical Score]]-AVERAGE(Table26[Canonical Score]))/STDEV(Table26[Canonical Score])</f>
        <v>-0.46785604175482726</v>
      </c>
      <c r="O30" s="24">
        <f>RANK(Table26[[#This Row],[WHR Score]],Table26[WHR Score],0)</f>
        <v>18</v>
      </c>
      <c r="P30" s="24">
        <f>RANK(Table26[[#This Row],[WHR I+P Score]],Table26[WHR I+P Score],0)</f>
        <v>20</v>
      </c>
      <c r="Q30" s="24">
        <f>RANK(Table26[[#This Row],[Method I+P Score]],Table26[Method I+P Score],0)</f>
        <v>22</v>
      </c>
      <c r="R30" s="24">
        <f>RANK(Table26[[#This Row],[Canonical Score]],Table26[Canonical Score],0)</f>
        <v>21</v>
      </c>
    </row>
    <row r="31" spans="4:38" x14ac:dyDescent="0.25">
      <c r="D31" s="10" t="s">
        <v>62</v>
      </c>
      <c r="E31" s="2" t="s">
        <v>41</v>
      </c>
      <c r="F31" s="9">
        <v>15</v>
      </c>
      <c r="G31" s="4">
        <v>1692.9</v>
      </c>
      <c r="H31" s="4">
        <v>1708.5</v>
      </c>
      <c r="I31" s="4">
        <v>2250</v>
      </c>
      <c r="J31" s="4">
        <v>2146.5</v>
      </c>
      <c r="K31" s="4">
        <f>(Table26[[#This Row],[WHR Score]]-AVERAGE(Table26[WHR Score]))/STDEV(Table26[WHR Score])</f>
        <v>-1.4995512200912988</v>
      </c>
      <c r="L31" s="4">
        <f>(Table26[[#This Row],[WHR I+P Score]]-AVERAGE(Table26[WHR I+P Score]))/STDEV(Table26[WHR I+P Score])</f>
        <v>-1.4361404765243013</v>
      </c>
      <c r="M31" s="4">
        <f>(Table26[[#This Row],[Method I+P Score]]-AVERAGE(Table26[Method I+P Score]))/STDEV(Table26[Method I+P Score])</f>
        <v>-0.51405300722991032</v>
      </c>
      <c r="N31" s="4">
        <f>(Table26[[#This Row],[Canonical Score]]-AVERAGE(Table26[Canonical Score]))/STDEV(Table26[Canonical Score])</f>
        <v>-0.83029043527732804</v>
      </c>
      <c r="O31" s="24">
        <f>RANK(Table26[[#This Row],[WHR Score]],Table26[WHR Score],0)</f>
        <v>37</v>
      </c>
      <c r="P31" s="24">
        <f>RANK(Table26[[#This Row],[WHR I+P Score]],Table26[WHR I+P Score],0)</f>
        <v>37</v>
      </c>
      <c r="Q31" s="24">
        <f>RANK(Table26[[#This Row],[Method I+P Score]],Table26[Method I+P Score],0)</f>
        <v>23</v>
      </c>
      <c r="R31" s="24">
        <f>RANK(Table26[[#This Row],[Canonical Score]],Table26[Canonical Score],0)</f>
        <v>32</v>
      </c>
    </row>
    <row r="32" spans="4:38" x14ac:dyDescent="0.25">
      <c r="D32" s="10" t="s">
        <v>63</v>
      </c>
      <c r="E32" s="2" t="s">
        <v>33</v>
      </c>
      <c r="F32" s="9">
        <v>13</v>
      </c>
      <c r="G32" s="4">
        <v>1669.6</v>
      </c>
      <c r="H32" s="4">
        <v>1680.4</v>
      </c>
      <c r="I32" s="4">
        <v>2241</v>
      </c>
      <c r="J32" s="4">
        <v>2181.6</v>
      </c>
      <c r="K32" s="4">
        <f>(Table26[[#This Row],[WHR Score]]-AVERAGE(Table26[WHR Score]))/STDEV(Table26[WHR Score])</f>
        <v>-1.7933882567779966</v>
      </c>
      <c r="L32" s="4">
        <f>(Table26[[#This Row],[WHR I+P Score]]-AVERAGE(Table26[WHR I+P Score]))/STDEV(Table26[WHR I+P Score])</f>
        <v>-1.7906274855008717</v>
      </c>
      <c r="M32" s="4">
        <f>(Table26[[#This Row],[Method I+P Score]]-AVERAGE(Table26[Method I+P Score]))/STDEV(Table26[Method I+P Score])</f>
        <v>-0.58513173629622761</v>
      </c>
      <c r="N32" s="4">
        <f>(Table26[[#This Row],[Canonical Score]]-AVERAGE(Table26[Canonical Score]))/STDEV(Table26[Canonical Score])</f>
        <v>-0.54884248809503167</v>
      </c>
      <c r="O32" s="24">
        <f>RANK(Table26[[#This Row],[WHR Score]],Table26[WHR Score],0)</f>
        <v>38</v>
      </c>
      <c r="P32" s="24">
        <f>RANK(Table26[[#This Row],[WHR I+P Score]],Table26[WHR I+P Score],0)</f>
        <v>38</v>
      </c>
      <c r="Q32" s="24">
        <f>RANK(Table26[[#This Row],[Method I+P Score]],Table26[Method I+P Score],0)</f>
        <v>24</v>
      </c>
      <c r="R32" s="24">
        <f>RANK(Table26[[#This Row],[Canonical Score]],Table26[Canonical Score],1)</f>
        <v>16</v>
      </c>
    </row>
    <row r="33" spans="4:18" x14ac:dyDescent="0.25">
      <c r="D33" s="10" t="s">
        <v>64</v>
      </c>
      <c r="E33" s="2" t="s">
        <v>33</v>
      </c>
      <c r="F33" s="9">
        <v>24</v>
      </c>
      <c r="G33" s="4">
        <v>1716.3</v>
      </c>
      <c r="H33" s="4">
        <v>1722</v>
      </c>
      <c r="I33" s="4">
        <v>2234.4</v>
      </c>
      <c r="J33" s="4">
        <v>2170.6999999999998</v>
      </c>
      <c r="K33" s="4">
        <f>(Table26[[#This Row],[WHR Score]]-AVERAGE(Table26[WHR Score]))/STDEV(Table26[WHR Score])</f>
        <v>-1.2044530802428595</v>
      </c>
      <c r="L33" s="4">
        <f>(Table26[[#This Row],[WHR I+P Score]]-AVERAGE(Table26[WHR I+P Score]))/STDEV(Table26[WHR I+P Score])</f>
        <v>-1.265835329862959</v>
      </c>
      <c r="M33" s="4">
        <f>(Table26[[#This Row],[Method I+P Score]]-AVERAGE(Table26[Method I+P Score]))/STDEV(Table26[Method I+P Score])</f>
        <v>-0.63725613761152622</v>
      </c>
      <c r="N33" s="4">
        <f>(Table26[[#This Row],[Canonical Score]]-AVERAGE(Table26[Canonical Score]))/STDEV(Table26[Canonical Score])</f>
        <v>-0.63624370246218453</v>
      </c>
      <c r="O33" s="24">
        <f>RANK(Table26[[#This Row],[WHR Score]],Table26[WHR Score],0)</f>
        <v>35</v>
      </c>
      <c r="P33" s="24">
        <f>RANK(Table26[[#This Row],[WHR I+P Score]],Table26[WHR I+P Score],0)</f>
        <v>35</v>
      </c>
      <c r="Q33" s="24">
        <f>RANK(Table26[[#This Row],[Method I+P Score]],Table26[Method I+P Score],0)</f>
        <v>25</v>
      </c>
      <c r="R33" s="24">
        <f>RANK(Table26[[#This Row],[Canonical Score]],Table26[Canonical Score],0)</f>
        <v>25</v>
      </c>
    </row>
    <row r="34" spans="4:18" x14ac:dyDescent="0.25">
      <c r="D34" s="10" t="s">
        <v>65</v>
      </c>
      <c r="E34" s="2" t="s">
        <v>41</v>
      </c>
      <c r="F34" s="9">
        <v>31</v>
      </c>
      <c r="G34" s="4">
        <v>1709.8</v>
      </c>
      <c r="H34" s="4">
        <v>1719.7</v>
      </c>
      <c r="I34" s="4">
        <v>2234.3000000000002</v>
      </c>
      <c r="J34" s="4">
        <v>2160.6</v>
      </c>
      <c r="K34" s="4">
        <f>(Table26[[#This Row],[WHR Score]]-AVERAGE(Table26[WHR Score]))/STDEV(Table26[WHR Score])</f>
        <v>-1.2864247857563154</v>
      </c>
      <c r="L34" s="4">
        <f>(Table26[[#This Row],[WHR I+P Score]]-AVERAGE(Table26[WHR I+P Score]))/STDEV(Table26[WHR I+P Score])</f>
        <v>-1.2948502807756317</v>
      </c>
      <c r="M34" s="4">
        <f>(Table26[[#This Row],[Method I+P Score]]-AVERAGE(Table26[Method I+P Score]))/STDEV(Table26[Method I+P Score])</f>
        <v>-0.63804590126781802</v>
      </c>
      <c r="N34" s="4">
        <f>(Table26[[#This Row],[Canonical Score]]-AVERAGE(Table26[Canonical Score]))/STDEV(Table26[Canonical Score])</f>
        <v>-0.71723014880238889</v>
      </c>
      <c r="O34" s="24">
        <f>RANK(Table26[[#This Row],[WHR Score]],Table26[WHR Score],0)</f>
        <v>36</v>
      </c>
      <c r="P34" s="24">
        <f>RANK(Table26[[#This Row],[WHR I+P Score]],Table26[WHR I+P Score],0)</f>
        <v>36</v>
      </c>
      <c r="Q34" s="24">
        <f>RANK(Table26[[#This Row],[Method I+P Score]],Table26[Method I+P Score],0)</f>
        <v>26</v>
      </c>
      <c r="R34" s="24">
        <f>RANK(Table26[[#This Row],[Canonical Score]],Table26[Canonical Score],0)</f>
        <v>29</v>
      </c>
    </row>
    <row r="35" spans="4:18" x14ac:dyDescent="0.25">
      <c r="D35" s="2" t="s">
        <v>66</v>
      </c>
      <c r="E35" s="2" t="s">
        <v>33</v>
      </c>
      <c r="F35" s="8">
        <v>20</v>
      </c>
      <c r="G35" s="4">
        <v>1761.4</v>
      </c>
      <c r="H35" s="4">
        <v>1769.7</v>
      </c>
      <c r="I35" s="4">
        <v>2233</v>
      </c>
      <c r="J35" s="4">
        <v>2175.6999999999998</v>
      </c>
      <c r="K35" s="4">
        <f>(Table26[[#This Row],[WHR Score]]-AVERAGE(Table26[WHR Score]))/STDEV(Table26[WHR Score])</f>
        <v>-0.63569555429564883</v>
      </c>
      <c r="L35" s="4">
        <f>(Table26[[#This Row],[WHR I+P Score]]-AVERAGE(Table26[WHR I+P Score]))/STDEV(Table26[WHR I+P Score])</f>
        <v>-0.66409047832621604</v>
      </c>
      <c r="M35" s="4">
        <f>(Table26[[#This Row],[Method I+P Score]]-AVERAGE(Table26[Method I+P Score]))/STDEV(Table26[Method I+P Score])</f>
        <v>-0.64831282879962082</v>
      </c>
      <c r="N35" s="4">
        <f>(Table26[[#This Row],[Canonical Score]]-AVERAGE(Table26[Canonical Score]))/STDEV(Table26[Canonical Score])</f>
        <v>-0.59615140229376617</v>
      </c>
      <c r="O35" s="24">
        <f>RANK(Table26[[#This Row],[WHR Score]],Table26[WHR Score],0)</f>
        <v>29</v>
      </c>
      <c r="P35" s="24">
        <f>RANK(Table26[[#This Row],[WHR I+P Score]],Table26[WHR I+P Score],0)</f>
        <v>30</v>
      </c>
      <c r="Q35" s="24">
        <f>RANK(Table26[[#This Row],[Method I+P Score]],Table26[Method I+P Score],0)</f>
        <v>27</v>
      </c>
      <c r="R35" s="24">
        <f>RANK(Table26[[#This Row],[Canonical Score]],Table26[Canonical Score],0)</f>
        <v>24</v>
      </c>
    </row>
    <row r="36" spans="4:18" x14ac:dyDescent="0.25">
      <c r="D36" s="10" t="s">
        <v>67</v>
      </c>
      <c r="E36" s="3" t="s">
        <v>37</v>
      </c>
      <c r="F36" s="9">
        <v>16</v>
      </c>
      <c r="G36" s="10">
        <v>1732.4</v>
      </c>
      <c r="H36" s="4">
        <v>1744.9</v>
      </c>
      <c r="I36" s="4">
        <v>2232.4</v>
      </c>
      <c r="J36" s="4">
        <v>2147.4</v>
      </c>
      <c r="K36" s="4">
        <f>(Table26[[#This Row],[WHR Score]]-AVERAGE(Table26[WHR Score]))/STDEV(Table26[WHR Score])</f>
        <v>-1.0014154712018364</v>
      </c>
      <c r="L36" s="4">
        <f>(Table26[[#This Row],[WHR I+P Score]]-AVERAGE(Table26[WHR I+P Score]))/STDEV(Table26[WHR I+P Score])</f>
        <v>-0.97694734034112563</v>
      </c>
      <c r="M36" s="4">
        <f>(Table26[[#This Row],[Method I+P Score]]-AVERAGE(Table26[Method I+P Score]))/STDEV(Table26[Method I+P Score])</f>
        <v>-0.6530514107373746</v>
      </c>
      <c r="N36" s="4">
        <f>(Table26[[#This Row],[Canonical Score]]-AVERAGE(Table26[Canonical Score]))/STDEV(Table26[Canonical Score])</f>
        <v>-0.82307382124701201</v>
      </c>
      <c r="O36" s="24">
        <f>RANK(Table26[[#This Row],[WHR Score]],Table26[WHR Score],0)</f>
        <v>34</v>
      </c>
      <c r="P36" s="24">
        <f>RANK(Table26[[#This Row],[WHR I+P Score]],Table26[WHR I+P Score],0)</f>
        <v>34</v>
      </c>
      <c r="Q36" s="24">
        <f>RANK(Table26[[#This Row],[Method I+P Score]],Table26[Method I+P Score],0)</f>
        <v>28</v>
      </c>
      <c r="R36" s="24">
        <f>RANK(Table26[[#This Row],[Canonical Score]],Table26[Canonical Score],0)</f>
        <v>31</v>
      </c>
    </row>
    <row r="37" spans="4:18" x14ac:dyDescent="0.25">
      <c r="D37" s="3" t="s">
        <v>68</v>
      </c>
      <c r="E37" s="3" t="s">
        <v>41</v>
      </c>
      <c r="F37" s="9">
        <v>27</v>
      </c>
      <c r="G37" s="10">
        <v>1819.2</v>
      </c>
      <c r="H37" s="4">
        <v>1828.1</v>
      </c>
      <c r="I37" s="4">
        <v>2225</v>
      </c>
      <c r="J37" s="4">
        <v>2168.4</v>
      </c>
      <c r="K37" s="4">
        <f>(Table26[[#This Row],[WHR Score]]-AVERAGE(Table26[WHR Score]))/STDEV(Table26[WHR Score])</f>
        <v>9.3222073193234681E-2</v>
      </c>
      <c r="L37" s="4">
        <f>(Table26[[#This Row],[WHR I+P Score]]-AVERAGE(Table26[WHR I+P Score]))/STDEV(Table26[WHR I+P Score])</f>
        <v>7.2636970934699674E-2</v>
      </c>
      <c r="M37" s="4">
        <f>(Table26[[#This Row],[Method I+P Score]]-AVERAGE(Table26[Method I+P Score]))/STDEV(Table26[Method I+P Score])</f>
        <v>-0.71149392130301392</v>
      </c>
      <c r="N37" s="4">
        <f>(Table26[[#This Row],[Canonical Score]]-AVERAGE(Table26[Canonical Score]))/STDEV(Table26[Canonical Score])</f>
        <v>-0.65468616053965478</v>
      </c>
      <c r="O37" s="24">
        <f>RANK(Table26[[#This Row],[WHR Score]],Table26[WHR Score],0)</f>
        <v>16</v>
      </c>
      <c r="P37" s="24">
        <f>RANK(Table26[[#This Row],[WHR I+P Score]],Table26[WHR I+P Score],0)</f>
        <v>16</v>
      </c>
      <c r="Q37" s="24">
        <f>RANK(Table26[[#This Row],[Method I+P Score]],Table26[Method I+P Score],0)</f>
        <v>29</v>
      </c>
      <c r="R37" s="24">
        <f>RANK(Table26[[#This Row],[Canonical Score]],Table26[Canonical Score],0)</f>
        <v>26</v>
      </c>
    </row>
    <row r="38" spans="4:18" x14ac:dyDescent="0.25">
      <c r="D38" s="10" t="s">
        <v>69</v>
      </c>
      <c r="E38" s="3" t="s">
        <v>47</v>
      </c>
      <c r="F38" s="9">
        <v>16</v>
      </c>
      <c r="G38" s="10">
        <v>1743</v>
      </c>
      <c r="H38" s="4">
        <v>1757.6</v>
      </c>
      <c r="I38" s="4">
        <v>2219.5</v>
      </c>
      <c r="J38" s="4">
        <v>2152.6</v>
      </c>
      <c r="K38" s="4">
        <f>(Table26[[#This Row],[WHR Score]]-AVERAGE(Table26[WHR Score]))/STDEV(Table26[WHR Score])</f>
        <v>-0.86773853605681728</v>
      </c>
      <c r="L38" s="4">
        <f>(Table26[[#This Row],[WHR I+P Score]]-AVERAGE(Table26[WHR I+P Score]))/STDEV(Table26[WHR I+P Score])</f>
        <v>-0.81673435051897636</v>
      </c>
      <c r="M38" s="4">
        <f>(Table26[[#This Row],[Method I+P Score]]-AVERAGE(Table26[Method I+P Score]))/STDEV(Table26[Method I+P Score])</f>
        <v>-0.75493092239909676</v>
      </c>
      <c r="N38" s="4">
        <f>(Table26[[#This Row],[Canonical Score]]-AVERAGE(Table26[Canonical Score]))/STDEV(Table26[Canonical Score])</f>
        <v>-0.78137782907185838</v>
      </c>
      <c r="O38" s="24">
        <f>RANK(Table26[[#This Row],[WHR Score]],Table26[WHR Score],0)</f>
        <v>32</v>
      </c>
      <c r="P38" s="24">
        <f>RANK(Table26[[#This Row],[WHR I+P Score]],Table26[WHR I+P Score],0)</f>
        <v>31</v>
      </c>
      <c r="Q38" s="24">
        <f>RANK(Table26[[#This Row],[Method I+P Score]],Table26[Method I+P Score],0)</f>
        <v>30</v>
      </c>
      <c r="R38" s="24">
        <f>RANK(Table26[[#This Row],[Canonical Score]],Table26[Canonical Score],0)</f>
        <v>30</v>
      </c>
    </row>
    <row r="39" spans="4:18" x14ac:dyDescent="0.25">
      <c r="D39" s="12" t="s">
        <v>70</v>
      </c>
      <c r="E39" s="12" t="s">
        <v>47</v>
      </c>
      <c r="F39" s="11">
        <v>18</v>
      </c>
      <c r="G39" s="11">
        <v>1806</v>
      </c>
      <c r="H39" s="4">
        <v>1814.6</v>
      </c>
      <c r="I39" s="4">
        <v>2219.1</v>
      </c>
      <c r="J39" s="4">
        <v>2161.1999999999998</v>
      </c>
      <c r="K39" s="4">
        <f>(Table26[[#This Row],[WHR Score]]-AVERAGE(Table26[WHR Score]))/STDEV(Table26[WHR Score])</f>
        <v>-7.3243544157168494E-2</v>
      </c>
      <c r="L39" s="4">
        <f>(Table26[[#This Row],[WHR I+P Score]]-AVERAGE(Table26[WHR I+P Score]))/STDEV(Table26[WHR I+P Score])</f>
        <v>-9.7668175726642534E-2</v>
      </c>
      <c r="M39" s="4">
        <f>(Table26[[#This Row],[Method I+P Score]]-AVERAGE(Table26[Method I+P Score]))/STDEV(Table26[Method I+P Score])</f>
        <v>-0.75808997702426706</v>
      </c>
      <c r="N39" s="4">
        <f>(Table26[[#This Row],[Canonical Score]]-AVERAGE(Table26[Canonical Score]))/STDEV(Table26[Canonical Score])</f>
        <v>-0.71241907278217942</v>
      </c>
      <c r="O39" s="24">
        <f>RANK(Table26[[#This Row],[WHR Score]],Table26[WHR Score],0)</f>
        <v>17</v>
      </c>
      <c r="P39" s="24">
        <f>RANK(Table26[[#This Row],[WHR I+P Score]],Table26[WHR I+P Score],0)</f>
        <v>17</v>
      </c>
      <c r="Q39" s="24">
        <f>RANK(Table26[[#This Row],[Method I+P Score]],Table26[Method I+P Score],0)</f>
        <v>31</v>
      </c>
      <c r="R39" s="24">
        <f>RANK(Table26[[#This Row],[Canonical Score]],Table26[Canonical Score],0)</f>
        <v>27</v>
      </c>
    </row>
    <row r="40" spans="4:18" x14ac:dyDescent="0.25">
      <c r="D40" s="1" t="s">
        <v>71</v>
      </c>
      <c r="E40" s="1" t="s">
        <v>43</v>
      </c>
      <c r="F40">
        <v>14</v>
      </c>
      <c r="G40">
        <v>1760.7</v>
      </c>
      <c r="H40" s="4">
        <v>1771.9</v>
      </c>
      <c r="I40" s="4">
        <v>2217.6999999999998</v>
      </c>
      <c r="J40" s="4">
        <v>2144</v>
      </c>
      <c r="K40" s="4">
        <f>(Table26[[#This Row],[WHR Score]]-AVERAGE(Table26[WHR Score]))/STDEV(Table26[WHR Score])</f>
        <v>-0.64452327642786778</v>
      </c>
      <c r="L40" s="4">
        <f>(Table26[[#This Row],[WHR I+P Score]]-AVERAGE(Table26[WHR I+P Score]))/STDEV(Table26[WHR I+P Score])</f>
        <v>-0.63633704701844118</v>
      </c>
      <c r="M40" s="4">
        <f>(Table26[[#This Row],[Method I+P Score]]-AVERAGE(Table26[Method I+P Score]))/STDEV(Table26[Method I+P Score])</f>
        <v>-0.76914666821236155</v>
      </c>
      <c r="N40" s="4">
        <f>(Table26[[#This Row],[Canonical Score]]-AVERAGE(Table26[Canonical Score]))/STDEV(Table26[Canonical Score])</f>
        <v>-0.85033658536153722</v>
      </c>
      <c r="O40" s="24">
        <f>RANK(Table26[[#This Row],[WHR Score]],Table26[WHR Score],0)</f>
        <v>30</v>
      </c>
      <c r="P40" s="24">
        <f>RANK(Table26[[#This Row],[WHR I+P Score]],Table26[WHR I+P Score],0)</f>
        <v>29</v>
      </c>
      <c r="Q40" s="24">
        <f>RANK(Table26[[#This Row],[Method I+P Score]],Table26[Method I+P Score],0)</f>
        <v>32</v>
      </c>
      <c r="R40" s="24">
        <f>RANK(Table26[[#This Row],[Canonical Score]],Table26[Canonical Score],0)</f>
        <v>33</v>
      </c>
    </row>
    <row r="41" spans="4:18" x14ac:dyDescent="0.25">
      <c r="D41" s="12" t="s">
        <v>72</v>
      </c>
      <c r="E41" s="12" t="s">
        <v>43</v>
      </c>
      <c r="F41" s="11">
        <v>20</v>
      </c>
      <c r="G41" s="11">
        <v>1856.2</v>
      </c>
      <c r="H41" s="4">
        <v>1868.9</v>
      </c>
      <c r="I41" s="4">
        <v>2192.6</v>
      </c>
      <c r="J41" s="4">
        <v>2161.1999999999998</v>
      </c>
      <c r="K41" s="4">
        <f>(Table26[[#This Row],[WHR Score]]-AVERAGE(Table26[WHR Score]))/STDEV(Table26[WHR Score])</f>
        <v>0.55983024303906015</v>
      </c>
      <c r="L41" s="4">
        <f>(Table26[[#This Row],[WHR I+P Score]]-AVERAGE(Table26[WHR I+P Score]))/STDEV(Table26[WHR I+P Score])</f>
        <v>0.58733696973342508</v>
      </c>
      <c r="M41" s="4">
        <f>(Table26[[#This Row],[Method I+P Score]]-AVERAGE(Table26[Method I+P Score]))/STDEV(Table26[Method I+P Score])</f>
        <v>-0.96737734594175684</v>
      </c>
      <c r="N41" s="4">
        <f>(Table26[[#This Row],[Canonical Score]]-AVERAGE(Table26[Canonical Score]))/STDEV(Table26[Canonical Score])</f>
        <v>-0.71241907278217942</v>
      </c>
      <c r="O41" s="24">
        <f>RANK(Table26[[#This Row],[WHR Score]],Table26[WHR Score],0)</f>
        <v>11</v>
      </c>
      <c r="P41" s="24">
        <f>RANK(Table26[[#This Row],[WHR I+P Score]],Table26[WHR I+P Score],0)</f>
        <v>10</v>
      </c>
      <c r="Q41" s="24">
        <f>RANK(Table26[[#This Row],[Method I+P Score]],Table26[Method I+P Score],0)</f>
        <v>33</v>
      </c>
      <c r="R41" s="24">
        <f>RANK(Table26[[#This Row],[Canonical Score]],Table26[Canonical Score],0)</f>
        <v>27</v>
      </c>
    </row>
    <row r="42" spans="4:18" x14ac:dyDescent="0.25">
      <c r="D42" s="1" t="s">
        <v>73</v>
      </c>
      <c r="E42" s="1" t="s">
        <v>37</v>
      </c>
      <c r="F42">
        <v>23</v>
      </c>
      <c r="G42">
        <v>1849.9</v>
      </c>
      <c r="H42" s="4">
        <v>1857.1</v>
      </c>
      <c r="I42" s="4">
        <v>2165.9</v>
      </c>
      <c r="J42" s="4">
        <v>2105.3000000000002</v>
      </c>
      <c r="K42" s="4">
        <f>(Table26[[#This Row],[WHR Score]]-AVERAGE(Table26[WHR Score]))/STDEV(Table26[WHR Score])</f>
        <v>0.48038074384909585</v>
      </c>
      <c r="L42" s="4">
        <f>(Table26[[#This Row],[WHR I+P Score]]-AVERAGE(Table26[WHR I+P Score]))/STDEV(Table26[WHR I+P Score])</f>
        <v>0.43847765635536073</v>
      </c>
      <c r="M42" s="4">
        <f>(Table26[[#This Row],[Method I+P Score]]-AVERAGE(Table26[Method I+P Score]))/STDEV(Table26[Method I+P Score])</f>
        <v>-1.17824424217183</v>
      </c>
      <c r="N42" s="4">
        <f>(Table26[[#This Row],[Canonical Score]]-AVERAGE(Table26[Canonical Score]))/STDEV(Table26[Canonical Score])</f>
        <v>-1.1606509886650942</v>
      </c>
      <c r="O42" s="24">
        <f>RANK(Table26[[#This Row],[WHR Score]],Table26[WHR Score],0)</f>
        <v>12</v>
      </c>
      <c r="P42" s="24">
        <f>RANK(Table26[[#This Row],[WHR I+P Score]],Table26[WHR I+P Score],0)</f>
        <v>13</v>
      </c>
      <c r="Q42" s="24">
        <f>RANK(Table26[[#This Row],[Method I+P Score]],Table26[Method I+P Score],0)</f>
        <v>34</v>
      </c>
      <c r="R42" s="24">
        <f>RANK(Table26[[#This Row],[Canonical Score]],Table26[Canonical Score],0)</f>
        <v>35</v>
      </c>
    </row>
    <row r="43" spans="4:18" x14ac:dyDescent="0.25">
      <c r="D43" s="1" t="s">
        <v>74</v>
      </c>
      <c r="E43" s="1" t="s">
        <v>47</v>
      </c>
      <c r="F43">
        <v>17</v>
      </c>
      <c r="G43">
        <v>1783.8</v>
      </c>
      <c r="H43" s="4">
        <v>1794.3</v>
      </c>
      <c r="I43" s="4">
        <v>2156.1</v>
      </c>
      <c r="J43" s="4">
        <v>2090.6999999999998</v>
      </c>
      <c r="K43" s="4">
        <f>(Table26[[#This Row],[WHR Score]]-AVERAGE(Table26[WHR Score]))/STDEV(Table26[WHR Score])</f>
        <v>-0.35320844606466434</v>
      </c>
      <c r="L43" s="4">
        <f>(Table26[[#This Row],[WHR I+P Score]]-AVERAGE(Table26[WHR I+P Score]))/STDEV(Table26[WHR I+P Score])</f>
        <v>-0.35375665552110469</v>
      </c>
      <c r="M43" s="4">
        <f>(Table26[[#This Row],[Method I+P Score]]-AVERAGE(Table26[Method I+P Score]))/STDEV(Table26[Method I+P Score])</f>
        <v>-1.2556410804884881</v>
      </c>
      <c r="N43" s="4">
        <f>(Table26[[#This Row],[Canonical Score]]-AVERAGE(Table26[Canonical Score]))/STDEV(Table26[Canonical Score])</f>
        <v>-1.2777205051568787</v>
      </c>
      <c r="O43" s="24">
        <f>RANK(Table26[[#This Row],[WHR Score]],Table26[WHR Score],0)</f>
        <v>22</v>
      </c>
      <c r="P43" s="24">
        <f>RANK(Table26[[#This Row],[WHR I+P Score]],Table26[WHR I+P Score],0)</f>
        <v>21</v>
      </c>
      <c r="Q43" s="24">
        <f>RANK(Table26[[#This Row],[Method I+P Score]],Table26[Method I+P Score],0)</f>
        <v>35</v>
      </c>
      <c r="R43" s="24">
        <f>RANK(Table26[[#This Row],[Canonical Score]],Table26[Canonical Score],0)</f>
        <v>36</v>
      </c>
    </row>
    <row r="44" spans="4:18" x14ac:dyDescent="0.25">
      <c r="D44" s="12" t="s">
        <v>75</v>
      </c>
      <c r="E44" s="12" t="s">
        <v>35</v>
      </c>
      <c r="F44" s="11">
        <v>20</v>
      </c>
      <c r="G44" s="11">
        <v>1772.8</v>
      </c>
      <c r="H44" s="4">
        <v>1781.8</v>
      </c>
      <c r="I44" s="4">
        <v>2153.6</v>
      </c>
      <c r="J44" s="4">
        <v>2115.1</v>
      </c>
      <c r="K44" s="4">
        <f>(Table26[[#This Row],[WHR Score]]-AVERAGE(Table26[WHR Score]))/STDEV(Table26[WHR Score])</f>
        <v>-0.49192979385666652</v>
      </c>
      <c r="L44" s="4">
        <f>(Table26[[#This Row],[WHR I+P Score]]-AVERAGE(Table26[WHR I+P Score]))/STDEV(Table26[WHR I+P Score])</f>
        <v>-0.5114466061334586</v>
      </c>
      <c r="M44" s="4">
        <f>(Table26[[#This Row],[Method I+P Score]]-AVERAGE(Table26[Method I+P Score]))/STDEV(Table26[Method I+P Score])</f>
        <v>-1.2753851718957985</v>
      </c>
      <c r="N44" s="4">
        <f>(Table26[[#This Row],[Canonical Score]]-AVERAGE(Table26[Canonical Score]))/STDEV(Table26[Canonical Score])</f>
        <v>-1.0820700803349963</v>
      </c>
      <c r="O44" s="24">
        <f>RANK(Table26[[#This Row],[WHR Score]],Table26[WHR Score],0)</f>
        <v>25</v>
      </c>
      <c r="P44" s="24">
        <f>RANK(Table26[[#This Row],[WHR I+P Score]],Table26[WHR I+P Score],0)</f>
        <v>25</v>
      </c>
      <c r="Q44" s="24">
        <f>RANK(Table26[[#This Row],[Method I+P Score]],Table26[Method I+P Score],0)</f>
        <v>36</v>
      </c>
      <c r="R44" s="24">
        <f>RANK(Table26[[#This Row],[Canonical Score]],Table26[Canonical Score],0)</f>
        <v>34</v>
      </c>
    </row>
    <row r="45" spans="4:18" x14ac:dyDescent="0.25">
      <c r="D45" s="12" t="s">
        <v>76</v>
      </c>
      <c r="E45" s="12" t="s">
        <v>43</v>
      </c>
      <c r="F45" s="11">
        <v>13</v>
      </c>
      <c r="G45" s="11">
        <v>1768</v>
      </c>
      <c r="H45" s="4">
        <v>1783.3</v>
      </c>
      <c r="I45" s="4">
        <v>2151</v>
      </c>
      <c r="J45" s="4">
        <v>2078.5</v>
      </c>
      <c r="K45" s="4">
        <f>(Table26[[#This Row],[WHR Score]]-AVERAGE(Table26[WHR Score]))/STDEV(Table26[WHR Score])</f>
        <v>-0.55246274562044873</v>
      </c>
      <c r="L45" s="4">
        <f>(Table26[[#This Row],[WHR I+P Score]]-AVERAGE(Table26[WHR I+P Score]))/STDEV(Table26[WHR I+P Score])</f>
        <v>-0.49252381205997614</v>
      </c>
      <c r="M45" s="4">
        <f>(Table26[[#This Row],[Method I+P Score]]-AVERAGE(Table26[Method I+P Score]))/STDEV(Table26[Method I+P Score])</f>
        <v>-1.2959190269594005</v>
      </c>
      <c r="N45" s="4">
        <f>(Table26[[#This Row],[Canonical Score]]-AVERAGE(Table26[Canonical Score]))/STDEV(Table26[Canonical Score])</f>
        <v>-1.3755457175678183</v>
      </c>
      <c r="O45" s="24">
        <f>RANK(Table26[[#This Row],[WHR Score]],Table26[WHR Score],0)</f>
        <v>27</v>
      </c>
      <c r="P45" s="24">
        <f>RANK(Table26[[#This Row],[WHR I+P Score]],Table26[WHR I+P Score],0)</f>
        <v>24</v>
      </c>
      <c r="Q45" s="24">
        <f>RANK(Table26[[#This Row],[Method I+P Score]],Table26[Method I+P Score],0)</f>
        <v>37</v>
      </c>
      <c r="R45" s="24">
        <f>RANK(Table26[[#This Row],[Canonical Score]],Table26[Canonical Score],0)</f>
        <v>37</v>
      </c>
    </row>
    <row r="46" spans="4:18" x14ac:dyDescent="0.25">
      <c r="D46" s="1" t="s">
        <v>77</v>
      </c>
      <c r="E46" s="1" t="s">
        <v>45</v>
      </c>
      <c r="F46">
        <v>18</v>
      </c>
      <c r="G46">
        <v>1772.9</v>
      </c>
      <c r="H46" s="4">
        <v>1781.1</v>
      </c>
      <c r="I46" s="4">
        <v>2146.6999999999998</v>
      </c>
      <c r="J46" s="4">
        <v>2074.9</v>
      </c>
      <c r="K46" s="14">
        <f>(Table26[[#This Row],[WHR Score]]-AVERAGE(Table26[WHR Score]))/STDEV(Table26[WHR Score])</f>
        <v>-0.49066869069491931</v>
      </c>
      <c r="L46" s="14">
        <f>(Table26[[#This Row],[WHR I+P Score]]-AVERAGE(Table26[WHR I+P Score]))/STDEV(Table26[WHR I+P Score])</f>
        <v>-0.52027724336775094</v>
      </c>
      <c r="M46" s="14">
        <f>(Table26[[#This Row],[Method I+P Score]]-AVERAGE(Table26[Method I+P Score]))/STDEV(Table26[Method I+P Score])</f>
        <v>-1.3298788641799757</v>
      </c>
      <c r="N46" s="14">
        <f>(Table26[[#This Row],[Canonical Score]]-AVERAGE(Table26[Canonical Score]))/STDEV(Table26[Canonical Score])</f>
        <v>-1.4044121736890787</v>
      </c>
      <c r="O46" s="25">
        <f>RANK(Table26[[#This Row],[WHR Score]],Table26[WHR Score],0)</f>
        <v>24</v>
      </c>
      <c r="P46" s="25">
        <f>RANK(Table26[[#This Row],[WHR I+P Score]],Table26[WHR I+P Score],0)</f>
        <v>26</v>
      </c>
      <c r="Q46" s="25">
        <f>RANK(Table26[[#This Row],[Method I+P Score]],Table26[Method I+P Score],0)</f>
        <v>38</v>
      </c>
      <c r="R46" s="25">
        <f>RANK(Table26[[#This Row],[Canonical Score]],Table26[Canonical Score],0)</f>
        <v>38</v>
      </c>
    </row>
  </sheetData>
  <mergeCells count="1">
    <mergeCell ref="D2:P5"/>
  </mergeCells>
  <conditionalFormatting sqref="K9:N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horizontalDpi="300" verticalDpi="300"/>
  <ignoredErrors>
    <ignoredError sqref="O11:R31 O33:R46 O32:Q32 O10:P10 R10" calculatedColumn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AG47"/>
  <sheetViews>
    <sheetView topLeftCell="A23" workbookViewId="0">
      <selection activeCell="D47" sqref="D9:D47"/>
    </sheetView>
  </sheetViews>
  <sheetFormatPr defaultRowHeight="15" x14ac:dyDescent="0.25"/>
  <cols>
    <col min="1" max="1" width="10" customWidth="1"/>
    <col min="2" max="2" width="23" customWidth="1"/>
    <col min="3" max="3" width="11" customWidth="1"/>
    <col min="4" max="4" width="23" customWidth="1"/>
    <col min="5" max="5" width="22" customWidth="1"/>
    <col min="6" max="6" width="9" customWidth="1"/>
    <col min="7" max="9" width="15" customWidth="1"/>
    <col min="10" max="12" width="11" customWidth="1"/>
    <col min="13" max="15" width="14" customWidth="1"/>
    <col min="17" max="17" width="22" customWidth="1"/>
    <col min="18" max="19" width="12" customWidth="1"/>
    <col min="20" max="20" width="10" customWidth="1"/>
    <col min="23" max="23" width="6" customWidth="1"/>
    <col min="24" max="24" width="22" customWidth="1"/>
    <col min="25" max="27" width="11" customWidth="1"/>
    <col min="28" max="30" width="9" customWidth="1"/>
    <col min="31" max="33" width="12" customWidth="1"/>
  </cols>
  <sheetData>
    <row r="2" spans="4:33" ht="31.5" customHeight="1" x14ac:dyDescent="0.5">
      <c r="D2" s="16" t="s">
        <v>78</v>
      </c>
    </row>
    <row r="7" spans="4:33" ht="18.75" x14ac:dyDescent="0.3">
      <c r="W7" s="21" t="s">
        <v>1</v>
      </c>
    </row>
    <row r="8" spans="4:33" ht="45" x14ac:dyDescent="0.25"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21</v>
      </c>
      <c r="K8" t="s">
        <v>22</v>
      </c>
      <c r="L8" t="s">
        <v>23</v>
      </c>
      <c r="M8" t="s">
        <v>79</v>
      </c>
      <c r="N8" t="s">
        <v>80</v>
      </c>
      <c r="O8" t="s">
        <v>81</v>
      </c>
      <c r="Q8" s="19" t="s">
        <v>3</v>
      </c>
      <c r="R8" s="19" t="s">
        <v>17</v>
      </c>
      <c r="S8" s="19" t="s">
        <v>18</v>
      </c>
      <c r="T8" s="19" t="s">
        <v>19</v>
      </c>
      <c r="W8" s="22" t="s">
        <v>20</v>
      </c>
      <c r="X8" s="22" t="s">
        <v>2</v>
      </c>
      <c r="Y8" s="22" t="s">
        <v>21</v>
      </c>
      <c r="Z8" s="22" t="s">
        <v>22</v>
      </c>
      <c r="AA8" s="22" t="s">
        <v>23</v>
      </c>
      <c r="AB8" s="22" t="s">
        <v>25</v>
      </c>
      <c r="AC8" s="22" t="s">
        <v>26</v>
      </c>
      <c r="AD8" s="22" t="s">
        <v>27</v>
      </c>
      <c r="AE8" s="22" t="s">
        <v>29</v>
      </c>
      <c r="AF8" s="22" t="s">
        <v>30</v>
      </c>
      <c r="AG8" s="22" t="s">
        <v>31</v>
      </c>
    </row>
    <row r="9" spans="4:33" x14ac:dyDescent="0.25">
      <c r="D9" t="s">
        <v>34</v>
      </c>
      <c r="E9" t="s">
        <v>35</v>
      </c>
      <c r="F9">
        <v>23</v>
      </c>
      <c r="G9">
        <v>1953.4</v>
      </c>
      <c r="H9">
        <v>1963.2</v>
      </c>
      <c r="I9">
        <v>2471.3000000000002</v>
      </c>
      <c r="J9" s="17">
        <f>(TableMen5yr[[#This Row],[WHR Score]]-AVERAGE(TableMen5yr[WHR Score]))/STDEV(TableMen5yr[WHR Score])</f>
        <v>1.9875443326260613</v>
      </c>
      <c r="K9" s="17">
        <f>(TableMen5yr[[#This Row],[WHR I+P Score]]-AVERAGE(TableMen5yr[WHR I+P Score]))/STDEV(TableMen5yr[WHR I+P Score])</f>
        <v>1.9658699785945937</v>
      </c>
      <c r="L9" s="17">
        <f>(TableMen5yr[[#This Row],[Method I+P Score]]-AVERAGE(TableMen5yr[Method I+P Score]))/STDEV(TableMen5yr[Method I+P Score])</f>
        <v>0.94815080410648078</v>
      </c>
      <c r="M9">
        <f>RANK(TableMen5yr[[#This Row],[WHR Score]],TableMen5yr[WHR Score],0)</f>
        <v>1</v>
      </c>
      <c r="N9">
        <f>RANK(TableMen5yr[[#This Row],[WHR I+P Score]],TableMen5yr[WHR I+P Score],0)</f>
        <v>1</v>
      </c>
      <c r="O9">
        <f>RANK(TableMen5yr[[#This Row],[Method I+P Score]],TableMen5yr[Method I+P Score],0)</f>
        <v>9</v>
      </c>
      <c r="Q9" t="s">
        <v>35</v>
      </c>
      <c r="R9" s="20">
        <f>AVERAGEIF($E$9:$E$47,$Q$9,$G$9:$G$47)</f>
        <v>1818.1166666666666</v>
      </c>
      <c r="S9" s="20">
        <f>_xlfn.MAXIFS($G$9:$G$47,$E$9:$E$47,$Q$9)</f>
        <v>1953.4</v>
      </c>
      <c r="T9">
        <f>COUNTIF($E$9:$E$47,$Q$9)</f>
        <v>6</v>
      </c>
      <c r="W9">
        <v>1</v>
      </c>
      <c r="X9" t="str">
        <f>INDEX(TableMen5yr[Fighter],MATCH(LARGE(TableMen5yr[WHR Score],1),TableMen5yr[WHR Score],0))</f>
        <v>Jon Jones</v>
      </c>
      <c r="Y9" s="17">
        <f>INDEX(TableMen5yr[z WHR Score],MATCH($X$9,TableMen5yr[Fighter],0))</f>
        <v>1.9875443326260613</v>
      </c>
      <c r="Z9" s="17">
        <f>INDEX(TableMen5yr[z WHR I+P Score],MATCH($X$9,TableMen5yr[Fighter],0))</f>
        <v>1.9658699785945937</v>
      </c>
      <c r="AA9" s="17">
        <f>INDEX(TableMen5yr[z Method I+P Score],MATCH($X$9,TableMen5yr[Fighter],0))</f>
        <v>0.94815080410648078</v>
      </c>
      <c r="AB9">
        <f>INDEX(TableMen5yr[Rank WHR Score],MATCH($X$9,TableMen5yr[Fighter],0))</f>
        <v>1</v>
      </c>
      <c r="AC9">
        <f>INDEX(TableMen5yr[Rank WHR I+P Score],MATCH($X$9,TableMen5yr[Fighter],0))</f>
        <v>1</v>
      </c>
      <c r="AD9">
        <f>INDEX(TableMen5yr[Rank Method I+P Score],MATCH($X$9,TableMen5yr[Fighter],0))</f>
        <v>9</v>
      </c>
      <c r="AE9" s="20">
        <f t="shared" ref="AE9:AE28" si="0">AVERAGE($AB9:$AD9)</f>
        <v>3.6666666666666665</v>
      </c>
      <c r="AF9">
        <f t="shared" ref="AF9:AF28" si="1">MAX($AB9:$AD9)-MIN($AB9:$AD9)</f>
        <v>8</v>
      </c>
      <c r="AG9" s="17">
        <f t="shared" ref="AG9:AG28" si="2">MAX($Y9:$AA9)-MIN($Y9:$AA9)</f>
        <v>1.0393935285195806</v>
      </c>
    </row>
    <row r="10" spans="4:33" x14ac:dyDescent="0.25">
      <c r="D10" t="s">
        <v>36</v>
      </c>
      <c r="E10" t="s">
        <v>37</v>
      </c>
      <c r="F10">
        <v>22</v>
      </c>
      <c r="G10">
        <v>1945.1</v>
      </c>
      <c r="H10">
        <v>1956.8</v>
      </c>
      <c r="I10">
        <v>2473.1999999999998</v>
      </c>
      <c r="J10" s="17">
        <f>(TableMen5yr[[#This Row],[WHR Score]]-AVERAGE(TableMen5yr[WHR Score]))/STDEV(TableMen5yr[WHR Score])</f>
        <v>1.8741375355537249</v>
      </c>
      <c r="K10" s="17">
        <f>(TableMen5yr[[#This Row],[WHR I+P Score]]-AVERAGE(TableMen5yr[WHR I+P Score]))/STDEV(TableMen5yr[WHR I+P Score])</f>
        <v>1.8784808627319396</v>
      </c>
      <c r="L10" s="17">
        <f>(TableMen5yr[[#This Row],[Method I+P Score]]-AVERAGE(TableMen5yr[Method I+P Score]))/STDEV(TableMen5yr[Method I+P Score])</f>
        <v>0.96305459795563053</v>
      </c>
      <c r="M10">
        <f>RANK(TableMen5yr[[#This Row],[WHR Score]],TableMen5yr[WHR Score],0)</f>
        <v>2</v>
      </c>
      <c r="N10">
        <f>RANK(TableMen5yr[[#This Row],[WHR I+P Score]],TableMen5yr[WHR I+P Score],0)</f>
        <v>2</v>
      </c>
      <c r="O10">
        <f>RANK(TableMen5yr[[#This Row],[Method I+P Score]],TableMen5yr[Method I+P Score],0)</f>
        <v>8</v>
      </c>
      <c r="Q10" t="s">
        <v>37</v>
      </c>
      <c r="R10" s="20">
        <f>AVERAGEIF($E$9:$E$47,$Q$10,$G$9:$G$47)</f>
        <v>1821.9600000000003</v>
      </c>
      <c r="S10" s="20">
        <f>_xlfn.MAXIFS($G$9:$G$47,$E$9:$E$47,$Q$10)</f>
        <v>1945.1</v>
      </c>
      <c r="T10">
        <f>COUNTIF($E$9:$E$47,$Q$10)</f>
        <v>5</v>
      </c>
      <c r="W10">
        <v>2</v>
      </c>
      <c r="X10" t="str">
        <f>INDEX(TableMen5yr[Fighter],MATCH(LARGE(TableMen5yr[WHR Score],2),TableMen5yr[WHR Score],0))</f>
        <v>Georges St-Pierre</v>
      </c>
      <c r="Y10" s="17">
        <f>INDEX(TableMen5yr[z WHR Score],MATCH($X$10,TableMen5yr[Fighter],0))</f>
        <v>1.8741375355537249</v>
      </c>
      <c r="Z10" s="17">
        <f>INDEX(TableMen5yr[z WHR I+P Score],MATCH($X$10,TableMen5yr[Fighter],0))</f>
        <v>1.8784808627319396</v>
      </c>
      <c r="AA10" s="17">
        <f>INDEX(TableMen5yr[z Method I+P Score],MATCH($X$10,TableMen5yr[Fighter],0))</f>
        <v>0.96305459795563053</v>
      </c>
      <c r="AB10">
        <f>INDEX(TableMen5yr[Rank WHR Score],MATCH($X$10,TableMen5yr[Fighter],0))</f>
        <v>2</v>
      </c>
      <c r="AC10">
        <f>INDEX(TableMen5yr[Rank WHR I+P Score],MATCH($X$10,TableMen5yr[Fighter],0))</f>
        <v>2</v>
      </c>
      <c r="AD10">
        <f>INDEX(TableMen5yr[Rank Method I+P Score],MATCH($X$10,TableMen5yr[Fighter],0))</f>
        <v>8</v>
      </c>
      <c r="AE10" s="20">
        <f t="shared" si="0"/>
        <v>4</v>
      </c>
      <c r="AF10">
        <f t="shared" si="1"/>
        <v>6</v>
      </c>
      <c r="AG10" s="17">
        <f t="shared" si="2"/>
        <v>0.91542626477630906</v>
      </c>
    </row>
    <row r="11" spans="4:33" x14ac:dyDescent="0.25">
      <c r="D11" t="s">
        <v>32</v>
      </c>
      <c r="E11" t="s">
        <v>33</v>
      </c>
      <c r="F11">
        <v>24</v>
      </c>
      <c r="G11">
        <v>1944.1</v>
      </c>
      <c r="H11">
        <v>1953.6</v>
      </c>
      <c r="I11">
        <v>2655.3</v>
      </c>
      <c r="J11" s="17">
        <f>(TableMen5yr[[#This Row],[WHR Score]]-AVERAGE(TableMen5yr[WHR Score]))/STDEV(TableMen5yr[WHR Score])</f>
        <v>1.8604740660269377</v>
      </c>
      <c r="K11" s="17">
        <f>(TableMen5yr[[#This Row],[WHR I+P Score]]-AVERAGE(TableMen5yr[WHR I+P Score]))/STDEV(TableMen5yr[WHR I+P Score])</f>
        <v>1.8347863048006128</v>
      </c>
      <c r="L11" s="17">
        <f>(TableMen5yr[[#This Row],[Method I+P Score]]-AVERAGE(TableMen5yr[Method I+P Score]))/STDEV(TableMen5yr[Method I+P Score])</f>
        <v>2.3914655768665209</v>
      </c>
      <c r="M11">
        <f>RANK(TableMen5yr[[#This Row],[WHR Score]],TableMen5yr[WHR Score],0)</f>
        <v>3</v>
      </c>
      <c r="N11">
        <f>RANK(TableMen5yr[[#This Row],[WHR I+P Score]],TableMen5yr[WHR I+P Score],0)</f>
        <v>3</v>
      </c>
      <c r="O11">
        <f>RANK(TableMen5yr[[#This Row],[Method I+P Score]],TableMen5yr[Method I+P Score],0)</f>
        <v>1</v>
      </c>
      <c r="Q11" t="s">
        <v>33</v>
      </c>
      <c r="R11" s="20">
        <f>AVERAGEIF($E$9:$E$47,$Q$11,$G$9:$G$47)</f>
        <v>1809.5</v>
      </c>
      <c r="S11" s="20">
        <f>_xlfn.MAXIFS($G$9:$G$47,$E$9:$E$47,$Q$11)</f>
        <v>1944.1</v>
      </c>
      <c r="T11">
        <f>COUNTIF($E$9:$E$47,$Q$11)</f>
        <v>5</v>
      </c>
      <c r="W11">
        <v>3</v>
      </c>
      <c r="X11" t="str">
        <f>INDEX(TableMen5yr[Fighter],MATCH(LARGE(TableMen5yr[WHR Score],3),TableMen5yr[WHR Score],0))</f>
        <v>Anderson Silva</v>
      </c>
      <c r="Y11" s="17">
        <f>INDEX(TableMen5yr[z WHR Score],MATCH($X$11,TableMen5yr[Fighter],0))</f>
        <v>1.8604740660269377</v>
      </c>
      <c r="Z11" s="17">
        <f>INDEX(TableMen5yr[z WHR I+P Score],MATCH($X$11,TableMen5yr[Fighter],0))</f>
        <v>1.8347863048006128</v>
      </c>
      <c r="AA11" s="17">
        <f>INDEX(TableMen5yr[z Method I+P Score],MATCH($X$11,TableMen5yr[Fighter],0))</f>
        <v>2.3914655768665209</v>
      </c>
      <c r="AB11">
        <f>INDEX(TableMen5yr[Rank WHR Score],MATCH($X$11,TableMen5yr[Fighter],0))</f>
        <v>3</v>
      </c>
      <c r="AC11">
        <f>INDEX(TableMen5yr[Rank WHR I+P Score],MATCH($X$11,TableMen5yr[Fighter],0))</f>
        <v>3</v>
      </c>
      <c r="AD11">
        <f>INDEX(TableMen5yr[Rank Method I+P Score],MATCH($X$11,TableMen5yr[Fighter],0))</f>
        <v>1</v>
      </c>
      <c r="AE11" s="20">
        <f t="shared" si="0"/>
        <v>2.3333333333333335</v>
      </c>
      <c r="AF11">
        <f t="shared" si="1"/>
        <v>2</v>
      </c>
      <c r="AG11" s="17">
        <f t="shared" si="2"/>
        <v>0.55667927206590817</v>
      </c>
    </row>
    <row r="12" spans="4:33" x14ac:dyDescent="0.25">
      <c r="D12" t="s">
        <v>57</v>
      </c>
      <c r="E12" t="s">
        <v>45</v>
      </c>
      <c r="F12">
        <v>18</v>
      </c>
      <c r="G12">
        <v>1936.2</v>
      </c>
      <c r="H12">
        <v>1943.7</v>
      </c>
      <c r="I12">
        <v>2404.5</v>
      </c>
      <c r="J12" s="17">
        <f>(TableMen5yr[[#This Row],[WHR Score]]-AVERAGE(TableMen5yr[WHR Score]))/STDEV(TableMen5yr[WHR Score])</f>
        <v>1.7525326567653206</v>
      </c>
      <c r="K12" s="17">
        <f>(TableMen5yr[[#This Row],[WHR I+P Score]]-AVERAGE(TableMen5yr[WHR I+P Score]))/STDEV(TableMen5yr[WHR I+P Score])</f>
        <v>1.6996062662005738</v>
      </c>
      <c r="L12" s="17">
        <f>(TableMen5yr[[#This Row],[Method I+P Score]]-AVERAGE(TableMen5yr[Method I+P Score]))/STDEV(TableMen5yr[Method I+P Score])</f>
        <v>0.42416478877837777</v>
      </c>
      <c r="M12">
        <f>RANK(TableMen5yr[[#This Row],[WHR Score]],TableMen5yr[WHR Score],0)</f>
        <v>4</v>
      </c>
      <c r="N12">
        <f>RANK(TableMen5yr[[#This Row],[WHR I+P Score]],TableMen5yr[WHR I+P Score],0)</f>
        <v>4</v>
      </c>
      <c r="O12">
        <f>RANK(TableMen5yr[[#This Row],[Method I+P Score]],TableMen5yr[Method I+P Score],0)</f>
        <v>13</v>
      </c>
      <c r="Q12" t="s">
        <v>45</v>
      </c>
      <c r="R12" s="20">
        <f>AVERAGEIF($E$9:$E$47,$Q$12,$G$9:$G$47)</f>
        <v>1811.425</v>
      </c>
      <c r="S12" s="20">
        <f>_xlfn.MAXIFS($G$9:$G$47,$E$9:$E$47,$Q$12)</f>
        <v>1936.2</v>
      </c>
      <c r="T12">
        <f>COUNTIF($E$9:$E$47,$Q$12)</f>
        <v>4</v>
      </c>
      <c r="W12">
        <v>4</v>
      </c>
      <c r="X12" t="str">
        <f>INDEX(TableMen5yr[Fighter],MATCH(LARGE(TableMen5yr[WHR Score],4),TableMen5yr[WHR Score],0))</f>
        <v>Demetrious Johnson</v>
      </c>
      <c r="Y12" s="17">
        <f>INDEX(TableMen5yr[z WHR Score],MATCH($X$12,TableMen5yr[Fighter],0))</f>
        <v>1.7525326567653206</v>
      </c>
      <c r="Z12" s="17">
        <f>INDEX(TableMen5yr[z WHR I+P Score],MATCH($X$12,TableMen5yr[Fighter],0))</f>
        <v>1.6996062662005738</v>
      </c>
      <c r="AA12" s="17">
        <f>INDEX(TableMen5yr[z Method I+P Score],MATCH($X$12,TableMen5yr[Fighter],0))</f>
        <v>0.42416478877837777</v>
      </c>
      <c r="AB12">
        <f>INDEX(TableMen5yr[Rank WHR Score],MATCH($X$12,TableMen5yr[Fighter],0))</f>
        <v>4</v>
      </c>
      <c r="AC12">
        <f>INDEX(TableMen5yr[Rank WHR I+P Score],MATCH($X$12,TableMen5yr[Fighter],0))</f>
        <v>4</v>
      </c>
      <c r="AD12">
        <f>INDEX(TableMen5yr[Rank Method I+P Score],MATCH($X$12,TableMen5yr[Fighter],0))</f>
        <v>13</v>
      </c>
      <c r="AE12" s="20">
        <f t="shared" si="0"/>
        <v>7</v>
      </c>
      <c r="AF12">
        <f t="shared" si="1"/>
        <v>9</v>
      </c>
      <c r="AG12" s="17">
        <f t="shared" si="2"/>
        <v>1.3283678679869428</v>
      </c>
    </row>
    <row r="13" spans="4:33" x14ac:dyDescent="0.25">
      <c r="D13" t="s">
        <v>48</v>
      </c>
      <c r="E13" t="s">
        <v>41</v>
      </c>
      <c r="F13">
        <v>18</v>
      </c>
      <c r="G13">
        <v>1918.8</v>
      </c>
      <c r="H13">
        <v>1929.8</v>
      </c>
      <c r="I13">
        <v>2493.8000000000002</v>
      </c>
      <c r="J13" s="17">
        <f>(TableMen5yr[[#This Row],[WHR Score]]-AVERAGE(TableMen5yr[WHR Score]))/STDEV(TableMen5yr[WHR Score])</f>
        <v>1.5147882869992215</v>
      </c>
      <c r="K13" s="17">
        <f>(TableMen5yr[[#This Row],[WHR I+P Score]]-AVERAGE(TableMen5yr[WHR I+P Score]))/STDEV(TableMen5yr[WHR I+P Score])</f>
        <v>1.5098080301863739</v>
      </c>
      <c r="L13" s="17">
        <f>(TableMen5yr[[#This Row],[Method I+P Score]]-AVERAGE(TableMen5yr[Method I+P Score]))/STDEV(TableMen5yr[Method I+P Score])</f>
        <v>1.1246430996885508</v>
      </c>
      <c r="M13">
        <f>RANK(TableMen5yr[[#This Row],[WHR Score]],TableMen5yr[WHR Score],0)</f>
        <v>5</v>
      </c>
      <c r="N13">
        <f>RANK(TableMen5yr[[#This Row],[WHR I+P Score]],TableMen5yr[WHR I+P Score],0)</f>
        <v>5</v>
      </c>
      <c r="O13">
        <f>RANK(TableMen5yr[[#This Row],[Method I+P Score]],TableMen5yr[Method I+P Score],0)</f>
        <v>6</v>
      </c>
      <c r="Q13" t="s">
        <v>41</v>
      </c>
      <c r="R13" s="20">
        <f>AVERAGEIF($E$9:$E$47,$Q$13,$G$9:$G$47)</f>
        <v>1789.56</v>
      </c>
      <c r="S13" s="20">
        <f>_xlfn.MAXIFS($G$9:$G$47,$E$9:$E$47,$Q$13)</f>
        <v>1918.8</v>
      </c>
      <c r="T13">
        <f>COUNTIF($E$9:$E$47,$Q$13)</f>
        <v>5</v>
      </c>
      <c r="W13">
        <v>5</v>
      </c>
      <c r="X13" t="str">
        <f>INDEX(TableMen5yr[Fighter],MATCH(LARGE(TableMen5yr[WHR Score],5),TableMen5yr[WHR Score],0))</f>
        <v>Islam Makhachev</v>
      </c>
      <c r="Y13" s="17">
        <f>INDEX(TableMen5yr[z WHR Score],MATCH($X$13,TableMen5yr[Fighter],0))</f>
        <v>1.5147882869992215</v>
      </c>
      <c r="Z13" s="17">
        <f>INDEX(TableMen5yr[z WHR I+P Score],MATCH($X$13,TableMen5yr[Fighter],0))</f>
        <v>1.5098080301863739</v>
      </c>
      <c r="AA13" s="17">
        <f>INDEX(TableMen5yr[z Method I+P Score],MATCH($X$13,TableMen5yr[Fighter],0))</f>
        <v>1.1246430996885508</v>
      </c>
      <c r="AB13">
        <f>INDEX(TableMen5yr[Rank WHR Score],MATCH($X$13,TableMen5yr[Fighter],0))</f>
        <v>5</v>
      </c>
      <c r="AC13">
        <f>INDEX(TableMen5yr[Rank WHR I+P Score],MATCH($X$13,TableMen5yr[Fighter],0))</f>
        <v>5</v>
      </c>
      <c r="AD13">
        <f>INDEX(TableMen5yr[Rank Method I+P Score],MATCH($X$13,TableMen5yr[Fighter],0))</f>
        <v>6</v>
      </c>
      <c r="AE13" s="20">
        <f t="shared" si="0"/>
        <v>5.333333333333333</v>
      </c>
      <c r="AF13">
        <f t="shared" si="1"/>
        <v>1</v>
      </c>
      <c r="AG13" s="17">
        <f t="shared" si="2"/>
        <v>0.39014518731067072</v>
      </c>
    </row>
    <row r="14" spans="4:33" x14ac:dyDescent="0.25">
      <c r="D14" t="s">
        <v>82</v>
      </c>
      <c r="E14" t="s">
        <v>35</v>
      </c>
      <c r="F14">
        <v>12</v>
      </c>
      <c r="G14">
        <v>1876.2</v>
      </c>
      <c r="H14">
        <v>1895.5</v>
      </c>
      <c r="I14">
        <v>2437.8000000000002</v>
      </c>
      <c r="J14" s="17">
        <f>(TableMen5yr[[#This Row],[WHR Score]]-AVERAGE(TableMen5yr[WHR Score]))/STDEV(TableMen5yr[WHR Score])</f>
        <v>0.93272448515808704</v>
      </c>
      <c r="K14" s="17">
        <f>(TableMen5yr[[#This Row],[WHR I+P Score]]-AVERAGE(TableMen5yr[WHR I+P Score]))/STDEV(TableMen5yr[WHR I+P Score])</f>
        <v>1.0414569873599704</v>
      </c>
      <c r="L14" s="17">
        <f>(TableMen5yr[[#This Row],[Method I+P Score]]-AVERAGE(TableMen5yr[Method I+P Score]))/STDEV(TableMen5yr[Method I+P Score])</f>
        <v>0.68537338623984301</v>
      </c>
      <c r="M14">
        <f>RANK(TableMen5yr[[#This Row],[WHR Score]],TableMen5yr[WHR Score],0)</f>
        <v>6</v>
      </c>
      <c r="N14">
        <f>RANK(TableMen5yr[[#This Row],[WHR I+P Score]],TableMen5yr[WHR I+P Score],0)</f>
        <v>6</v>
      </c>
      <c r="O14">
        <f>RANK(TableMen5yr[[#This Row],[Method I+P Score]],TableMen5yr[Method I+P Score],0)</f>
        <v>10</v>
      </c>
      <c r="Q14" t="s">
        <v>39</v>
      </c>
      <c r="R14" s="20">
        <f>AVERAGEIF($E$9:$E$47,$Q$14,$G$9:$G$47)</f>
        <v>1834.22</v>
      </c>
      <c r="S14" s="20">
        <f>_xlfn.MAXIFS($G$9:$G$47,$E$9:$E$47,$Q$14)</f>
        <v>1870.2</v>
      </c>
      <c r="T14">
        <f>COUNTIF($E$9:$E$47,$Q$14)</f>
        <v>5</v>
      </c>
      <c r="W14">
        <v>6</v>
      </c>
      <c r="X14" t="str">
        <f>INDEX(TableMen5yr[Fighter],MATCH(LARGE(TableMen5yr[WHR Score],6),TableMen5yr[WHR Score],0))</f>
        <v>Alex Pereira</v>
      </c>
      <c r="Y14" s="17">
        <f>INDEX(TableMen5yr[z WHR Score],MATCH($X$14,TableMen5yr[Fighter],0))</f>
        <v>0.93272448515808704</v>
      </c>
      <c r="Z14" s="17">
        <f>INDEX(TableMen5yr[z WHR I+P Score],MATCH($X$14,TableMen5yr[Fighter],0))</f>
        <v>1.0414569873599704</v>
      </c>
      <c r="AA14" s="17">
        <f>INDEX(TableMen5yr[z Method I+P Score],MATCH($X$14,TableMen5yr[Fighter],0))</f>
        <v>0.68537338623984301</v>
      </c>
      <c r="AB14">
        <f>INDEX(TableMen5yr[Rank WHR Score],MATCH($X$14,TableMen5yr[Fighter],0))</f>
        <v>6</v>
      </c>
      <c r="AC14">
        <f>INDEX(TableMen5yr[Rank WHR I+P Score],MATCH($X$14,TableMen5yr[Fighter],0))</f>
        <v>6</v>
      </c>
      <c r="AD14">
        <f>INDEX(TableMen5yr[Rank Method I+P Score],MATCH($X$14,TableMen5yr[Fighter],0))</f>
        <v>10</v>
      </c>
      <c r="AE14" s="20">
        <f t="shared" si="0"/>
        <v>7.333333333333333</v>
      </c>
      <c r="AF14">
        <f t="shared" si="1"/>
        <v>4</v>
      </c>
      <c r="AG14" s="17">
        <f t="shared" si="2"/>
        <v>0.35608360112012738</v>
      </c>
    </row>
    <row r="15" spans="4:33" x14ac:dyDescent="0.25">
      <c r="D15" t="s">
        <v>42</v>
      </c>
      <c r="E15" t="s">
        <v>39</v>
      </c>
      <c r="F15">
        <v>23</v>
      </c>
      <c r="G15">
        <v>1870.2</v>
      </c>
      <c r="H15">
        <v>1883</v>
      </c>
      <c r="I15">
        <v>2477.1999999999998</v>
      </c>
      <c r="J15" s="17">
        <f>(TableMen5yr[[#This Row],[WHR Score]]-AVERAGE(TableMen5yr[WHR Score]))/STDEV(TableMen5yr[WHR Score])</f>
        <v>0.85074366799736378</v>
      </c>
      <c r="K15" s="17">
        <f>(TableMen5yr[[#This Row],[WHR I+P Score]]-AVERAGE(TableMen5yr[WHR I+P Score]))/STDEV(TableMen5yr[WHR I+P Score])</f>
        <v>0.87077512044072691</v>
      </c>
      <c r="L15" s="17">
        <f>(TableMen5yr[[#This Row],[Method I+P Score]]-AVERAGE(TableMen5yr[Method I+P Score]))/STDEV(TableMen5yr[Method I+P Score])</f>
        <v>0.99443100605910961</v>
      </c>
      <c r="M15">
        <f>RANK(TableMen5yr[[#This Row],[WHR Score]],TableMen5yr[WHR Score],0)</f>
        <v>7</v>
      </c>
      <c r="N15">
        <f>RANK(TableMen5yr[[#This Row],[WHR I+P Score]],TableMen5yr[WHR I+P Score],0)</f>
        <v>8</v>
      </c>
      <c r="O15">
        <f>RANK(TableMen5yr[[#This Row],[Method I+P Score]],TableMen5yr[Method I+P Score],0)</f>
        <v>7</v>
      </c>
      <c r="Q15" t="s">
        <v>43</v>
      </c>
      <c r="R15" s="20">
        <f>AVERAGEIF($E$9:$E$47,$Q$15,$G$9:$G$47)</f>
        <v>1780.2166666666669</v>
      </c>
      <c r="S15" s="20">
        <f>_xlfn.MAXIFS($G$9:$G$47,$E$9:$E$47,$Q$15)</f>
        <v>1815.4</v>
      </c>
      <c r="T15">
        <f>COUNTIF($E$9:$E$47,$Q$15)</f>
        <v>6</v>
      </c>
      <c r="W15">
        <v>7</v>
      </c>
      <c r="X15" t="str">
        <f>INDEX(TableMen5yr[Fighter],MATCH(LARGE(TableMen5yr[WHR Score],7),TableMen5yr[WHR Score],0))</f>
        <v>Jose Aldo</v>
      </c>
      <c r="Y15" s="17">
        <f>INDEX(TableMen5yr[z WHR Score],MATCH($X$15,TableMen5yr[Fighter],0))</f>
        <v>0.85074366799736378</v>
      </c>
      <c r="Z15" s="17">
        <f>INDEX(TableMen5yr[z WHR I+P Score],MATCH($X$15,TableMen5yr[Fighter],0))</f>
        <v>0.87077512044072691</v>
      </c>
      <c r="AA15" s="17">
        <f>INDEX(TableMen5yr[z Method I+P Score],MATCH($X$15,TableMen5yr[Fighter],0))</f>
        <v>0.99443100605910961</v>
      </c>
      <c r="AB15">
        <f>INDEX(TableMen5yr[Rank WHR Score],MATCH($X$15,TableMen5yr[Fighter],0))</f>
        <v>7</v>
      </c>
      <c r="AC15">
        <f>INDEX(TableMen5yr[Rank WHR I+P Score],MATCH($X$15,TableMen5yr[Fighter],0))</f>
        <v>8</v>
      </c>
      <c r="AD15">
        <f>INDEX(TableMen5yr[Rank Method I+P Score],MATCH($X$15,TableMen5yr[Fighter],0))</f>
        <v>7</v>
      </c>
      <c r="AE15" s="20">
        <f t="shared" si="0"/>
        <v>7.333333333333333</v>
      </c>
      <c r="AF15">
        <f t="shared" si="1"/>
        <v>1</v>
      </c>
      <c r="AG15" s="17">
        <f t="shared" si="2"/>
        <v>0.14368733806174583</v>
      </c>
    </row>
    <row r="16" spans="4:33" x14ac:dyDescent="0.25">
      <c r="D16" t="s">
        <v>40</v>
      </c>
      <c r="E16" t="s">
        <v>39</v>
      </c>
      <c r="F16">
        <v>18</v>
      </c>
      <c r="G16">
        <v>1868.7</v>
      </c>
      <c r="H16">
        <v>1883.2</v>
      </c>
      <c r="I16">
        <v>2542.1</v>
      </c>
      <c r="J16" s="17">
        <f>(TableMen5yr[[#This Row],[WHR Score]]-AVERAGE(TableMen5yr[WHR Score]))/STDEV(TableMen5yr[WHR Score])</f>
        <v>0.83024846370718286</v>
      </c>
      <c r="K16" s="17">
        <f>(TableMen5yr[[#This Row],[WHR I+P Score]]-AVERAGE(TableMen5yr[WHR I+P Score]))/STDEV(TableMen5yr[WHR I+P Score])</f>
        <v>0.87350603031143537</v>
      </c>
      <c r="L16" s="17">
        <f>(TableMen5yr[[#This Row],[Method I+P Score]]-AVERAGE(TableMen5yr[Method I+P Score]))/STDEV(TableMen5yr[Method I+P Score])</f>
        <v>1.5035132275380594</v>
      </c>
      <c r="M16">
        <f>RANK(TableMen5yr[[#This Row],[WHR Score]],TableMen5yr[WHR Score],0)</f>
        <v>8</v>
      </c>
      <c r="N16">
        <f>RANK(TableMen5yr[[#This Row],[WHR I+P Score]],TableMen5yr[WHR I+P Score],0)</f>
        <v>7</v>
      </c>
      <c r="O16">
        <f>RANK(TableMen5yr[[#This Row],[Method I+P Score]],TableMen5yr[Method I+P Score],0)</f>
        <v>2</v>
      </c>
      <c r="Q16" t="s">
        <v>47</v>
      </c>
      <c r="R16" s="20">
        <f>AVERAGEIF($E$9:$E$47,$Q$16,$G$9:$G$47)</f>
        <v>1799.2</v>
      </c>
      <c r="S16" s="20">
        <f>_xlfn.MAXIFS($G$9:$G$47,$E$9:$E$47,$Q$16)</f>
        <v>1809.9</v>
      </c>
      <c r="T16">
        <f>COUNTIF($E$9:$E$47,$Q$16)</f>
        <v>3</v>
      </c>
      <c r="W16">
        <v>8</v>
      </c>
      <c r="X16" t="str">
        <f>INDEX(TableMen5yr[Fighter],MATCH(LARGE(TableMen5yr[WHR Score],8),TableMen5yr[WHR Score],0))</f>
        <v>Alexander Volkanovski</v>
      </c>
      <c r="Y16" s="17">
        <f>INDEX(TableMen5yr[z WHR Score],MATCH($X$16,TableMen5yr[Fighter],0))</f>
        <v>0.83024846370718286</v>
      </c>
      <c r="Z16" s="17">
        <f>INDEX(TableMen5yr[z WHR I+P Score],MATCH($X$16,TableMen5yr[Fighter],0))</f>
        <v>0.87350603031143537</v>
      </c>
      <c r="AA16" s="17">
        <f>INDEX(TableMen5yr[z Method I+P Score],MATCH($X$16,TableMen5yr[Fighter],0))</f>
        <v>1.5035132275380594</v>
      </c>
      <c r="AB16">
        <f>INDEX(TableMen5yr[Rank WHR Score],MATCH($X$16,TableMen5yr[Fighter],0))</f>
        <v>8</v>
      </c>
      <c r="AC16">
        <f>INDEX(TableMen5yr[Rank WHR I+P Score],MATCH($X$16,TableMen5yr[Fighter],0))</f>
        <v>7</v>
      </c>
      <c r="AD16">
        <f>INDEX(TableMen5yr[Rank Method I+P Score],MATCH($X$16,TableMen5yr[Fighter],0))</f>
        <v>2</v>
      </c>
      <c r="AE16" s="20">
        <f t="shared" si="0"/>
        <v>5.666666666666667</v>
      </c>
      <c r="AF16">
        <f t="shared" si="1"/>
        <v>6</v>
      </c>
      <c r="AG16" s="17">
        <f t="shared" si="2"/>
        <v>0.67326476383087652</v>
      </c>
    </row>
    <row r="17" spans="4:33" x14ac:dyDescent="0.25">
      <c r="D17" t="s">
        <v>38</v>
      </c>
      <c r="E17" t="s">
        <v>35</v>
      </c>
      <c r="F17">
        <v>14</v>
      </c>
      <c r="G17">
        <v>1863.1</v>
      </c>
      <c r="H17">
        <v>1875.2</v>
      </c>
      <c r="I17">
        <v>2524.6</v>
      </c>
      <c r="J17" s="17">
        <f>(TableMen5yr[[#This Row],[WHR Score]]-AVERAGE(TableMen5yr[WHR Score]))/STDEV(TableMen5yr[WHR Score])</f>
        <v>0.75373303435717254</v>
      </c>
      <c r="K17" s="17">
        <f>(TableMen5yr[[#This Row],[WHR I+P Score]]-AVERAGE(TableMen5yr[WHR I+P Score]))/STDEV(TableMen5yr[WHR I+P Score])</f>
        <v>0.76426963548311955</v>
      </c>
      <c r="L17" s="17">
        <f>(TableMen5yr[[#This Row],[Method I+P Score]]-AVERAGE(TableMen5yr[Method I+P Score]))/STDEV(TableMen5yr[Method I+P Score])</f>
        <v>1.3662414420853382</v>
      </c>
      <c r="M17">
        <f>RANK(TableMen5yr[[#This Row],[WHR Score]],TableMen5yr[WHR Score],0)</f>
        <v>9</v>
      </c>
      <c r="N17">
        <f>RANK(TableMen5yr[[#This Row],[WHR I+P Score]],TableMen5yr[WHR I+P Score],0)</f>
        <v>10</v>
      </c>
      <c r="O17">
        <f>RANK(TableMen5yr[[#This Row],[Method I+P Score]],TableMen5yr[Method I+P Score],0)</f>
        <v>4</v>
      </c>
      <c r="W17">
        <v>9</v>
      </c>
      <c r="X17" t="str">
        <f>INDEX(TableMen5yr[Fighter],MATCH(LARGE(TableMen5yr[WHR Score],9),TableMen5yr[WHR Score],0))</f>
        <v>Daniel Cormier</v>
      </c>
      <c r="Y17" s="17">
        <f>INDEX(TableMen5yr[z WHR Score],MATCH($X$17,TableMen5yr[Fighter],0))</f>
        <v>0.75373303435717254</v>
      </c>
      <c r="Z17" s="17">
        <f>INDEX(TableMen5yr[z WHR I+P Score],MATCH($X$17,TableMen5yr[Fighter],0))</f>
        <v>0.76426963548311955</v>
      </c>
      <c r="AA17" s="17">
        <f>INDEX(TableMen5yr[z Method I+P Score],MATCH($X$17,TableMen5yr[Fighter],0))</f>
        <v>1.3662414420853382</v>
      </c>
      <c r="AB17">
        <f>INDEX(TableMen5yr[Rank WHR Score],MATCH($X$17,TableMen5yr[Fighter],0))</f>
        <v>9</v>
      </c>
      <c r="AC17">
        <f>INDEX(TableMen5yr[Rank WHR I+P Score],MATCH($X$17,TableMen5yr[Fighter],0))</f>
        <v>10</v>
      </c>
      <c r="AD17">
        <f>INDEX(TableMen5yr[Rank Method I+P Score],MATCH($X$17,TableMen5yr[Fighter],0))</f>
        <v>4</v>
      </c>
      <c r="AE17" s="20">
        <f t="shared" si="0"/>
        <v>7.666666666666667</v>
      </c>
      <c r="AF17">
        <f t="shared" si="1"/>
        <v>6</v>
      </c>
      <c r="AG17" s="17">
        <f t="shared" si="2"/>
        <v>0.61250840772816562</v>
      </c>
    </row>
    <row r="18" spans="4:33" x14ac:dyDescent="0.25">
      <c r="D18" t="s">
        <v>44</v>
      </c>
      <c r="E18" t="s">
        <v>33</v>
      </c>
      <c r="F18">
        <v>19</v>
      </c>
      <c r="G18">
        <v>1862.9</v>
      </c>
      <c r="H18">
        <v>1877.7</v>
      </c>
      <c r="I18">
        <v>2530.1999999999998</v>
      </c>
      <c r="J18" s="17">
        <f>(TableMen5yr[[#This Row],[WHR Score]]-AVERAGE(TableMen5yr[WHR Score]))/STDEV(TableMen5yr[WHR Score])</f>
        <v>0.75100034045181763</v>
      </c>
      <c r="K18" s="17">
        <f>(TableMen5yr[[#This Row],[WHR I+P Score]]-AVERAGE(TableMen5yr[WHR I+P Score]))/STDEV(TableMen5yr[WHR I+P Score])</f>
        <v>0.79840600886696833</v>
      </c>
      <c r="L18" s="17">
        <f>(TableMen5yr[[#This Row],[Method I+P Score]]-AVERAGE(TableMen5yr[Method I+P Score]))/STDEV(TableMen5yr[Method I+P Score])</f>
        <v>1.4101684134302082</v>
      </c>
      <c r="M18">
        <f>RANK(TableMen5yr[[#This Row],[WHR Score]],TableMen5yr[WHR Score],0)</f>
        <v>10</v>
      </c>
      <c r="N18">
        <f>RANK(TableMen5yr[[#This Row],[WHR I+P Score]],TableMen5yr[WHR I+P Score],0)</f>
        <v>9</v>
      </c>
      <c r="O18">
        <f>RANK(TableMen5yr[[#This Row],[Method I+P Score]],TableMen5yr[Method I+P Score],0)</f>
        <v>3</v>
      </c>
      <c r="W18">
        <v>10</v>
      </c>
      <c r="X18" t="str">
        <f>INDEX(TableMen5yr[Fighter],MATCH(LARGE(TableMen5yr[WHR Score],10),TableMen5yr[WHR Score],0))</f>
        <v>Israel Adesanya</v>
      </c>
      <c r="Y18" s="17">
        <f>INDEX(TableMen5yr[z WHR Score],MATCH($X$18,TableMen5yr[Fighter],0))</f>
        <v>0.75100034045181763</v>
      </c>
      <c r="Z18" s="17">
        <f>INDEX(TableMen5yr[z WHR I+P Score],MATCH($X$18,TableMen5yr[Fighter],0))</f>
        <v>0.79840600886696833</v>
      </c>
      <c r="AA18" s="17">
        <f>INDEX(TableMen5yr[z Method I+P Score],MATCH($X$18,TableMen5yr[Fighter],0))</f>
        <v>1.4101684134302082</v>
      </c>
      <c r="AB18">
        <f>INDEX(TableMen5yr[Rank WHR Score],MATCH($X$18,TableMen5yr[Fighter],0))</f>
        <v>10</v>
      </c>
      <c r="AC18">
        <f>INDEX(TableMen5yr[Rank WHR I+P Score],MATCH($X$18,TableMen5yr[Fighter],0))</f>
        <v>9</v>
      </c>
      <c r="AD18">
        <f>INDEX(TableMen5yr[Rank Method I+P Score],MATCH($X$18,TableMen5yr[Fighter],0))</f>
        <v>3</v>
      </c>
      <c r="AE18" s="20">
        <f t="shared" si="0"/>
        <v>7.333333333333333</v>
      </c>
      <c r="AF18">
        <f t="shared" si="1"/>
        <v>7</v>
      </c>
      <c r="AG18" s="17">
        <f t="shared" si="2"/>
        <v>0.65916807297839053</v>
      </c>
    </row>
    <row r="19" spans="4:33" x14ac:dyDescent="0.25">
      <c r="D19" t="s">
        <v>73</v>
      </c>
      <c r="E19" t="s">
        <v>37</v>
      </c>
      <c r="F19">
        <v>23</v>
      </c>
      <c r="G19">
        <v>1854.4</v>
      </c>
      <c r="H19">
        <v>1861.6</v>
      </c>
      <c r="I19" s="18">
        <v>2179.5</v>
      </c>
      <c r="J19" s="17">
        <f>(TableMen5yr[[#This Row],[WHR Score]]-AVERAGE(TableMen5yr[WHR Score]))/STDEV(TableMen5yr[WHR Score])</f>
        <v>0.63486084947412624</v>
      </c>
      <c r="K19" s="17">
        <f>(TableMen5yr[[#This Row],[WHR I+P Score]]-AVERAGE(TableMen5yr[WHR I+P Score]))/STDEV(TableMen5yr[WHR I+P Score])</f>
        <v>0.5785677642749808</v>
      </c>
      <c r="L19" s="17">
        <f>(TableMen5yr[[#This Row],[Method I+P Score]]-AVERAGE(TableMen5yr[Method I+P Score]))/STDEV(TableMen5yr[Method I+P Score])</f>
        <v>-1.3407581670423234</v>
      </c>
      <c r="M19">
        <f>RANK(TableMen5yr[[#This Row],[WHR Score]],TableMen5yr[WHR Score],0)</f>
        <v>11</v>
      </c>
      <c r="N19">
        <f>RANK(TableMen5yr[[#This Row],[WHR I+P Score]],TableMen5yr[WHR I+P Score],0)</f>
        <v>12</v>
      </c>
      <c r="O19">
        <f>RANK(TableMen5yr[[#This Row],[Method I+P Score]],TableMen5yr[Method I+P Score],0)</f>
        <v>35</v>
      </c>
      <c r="W19">
        <v>11</v>
      </c>
      <c r="X19" t="str">
        <f>INDEX(TableMen5yr[Fighter],MATCH(LARGE(TableMen5yr[WHR Score],11),TableMen5yr[WHR Score],0))</f>
        <v>Matt Hughes</v>
      </c>
      <c r="Y19" s="17">
        <f>INDEX(TableMen5yr[z WHR Score],MATCH($X$19,TableMen5yr[Fighter],0))</f>
        <v>0.63486084947412624</v>
      </c>
      <c r="Z19" s="17">
        <f>INDEX(TableMen5yr[z WHR I+P Score],MATCH($X$19,TableMen5yr[Fighter],0))</f>
        <v>0.5785677642749808</v>
      </c>
      <c r="AA19" s="17">
        <f>INDEX(TableMen5yr[z Method I+P Score],MATCH($X$19,TableMen5yr[Fighter],0))</f>
        <v>-1.3407581670423234</v>
      </c>
      <c r="AB19">
        <f>INDEX(TableMen5yr[Rank WHR Score],MATCH($X$19,TableMen5yr[Fighter],0))</f>
        <v>11</v>
      </c>
      <c r="AC19">
        <f>INDEX(TableMen5yr[Rank WHR I+P Score],MATCH($X$19,TableMen5yr[Fighter],0))</f>
        <v>12</v>
      </c>
      <c r="AD19">
        <f>INDEX(TableMen5yr[Rank Method I+P Score],MATCH($X$19,TableMen5yr[Fighter],0))</f>
        <v>35</v>
      </c>
      <c r="AE19" s="20">
        <f t="shared" si="0"/>
        <v>19.333333333333332</v>
      </c>
      <c r="AF19">
        <f t="shared" si="1"/>
        <v>24</v>
      </c>
      <c r="AG19" s="17">
        <f t="shared" si="2"/>
        <v>1.9756190165164496</v>
      </c>
    </row>
    <row r="20" spans="4:33" x14ac:dyDescent="0.25">
      <c r="D20" t="s">
        <v>83</v>
      </c>
      <c r="E20" t="s">
        <v>39</v>
      </c>
      <c r="F20">
        <v>9</v>
      </c>
      <c r="G20">
        <v>1851.9</v>
      </c>
      <c r="H20">
        <v>1863.3</v>
      </c>
      <c r="I20">
        <v>2359.1999999999998</v>
      </c>
      <c r="J20" s="17">
        <f>(TableMen5yr[[#This Row],[WHR Score]]-AVERAGE(TableMen5yr[WHR Score]))/STDEV(TableMen5yr[WHR Score])</f>
        <v>0.60070217565715811</v>
      </c>
      <c r="K20" s="17">
        <f>(TableMen5yr[[#This Row],[WHR I+P Score]]-AVERAGE(TableMen5yr[WHR I+P Score]))/STDEV(TableMen5yr[WHR I+P Score])</f>
        <v>0.60178049817599855</v>
      </c>
      <c r="L20" s="17">
        <f>(TableMen5yr[[#This Row],[Method I+P Score]]-AVERAGE(TableMen5yr[Method I+P Score]))/STDEV(TableMen5yr[Method I+P Score])</f>
        <v>6.882696700647517E-2</v>
      </c>
      <c r="M20">
        <f>RANK(TableMen5yr[[#This Row],[WHR Score]],TableMen5yr[WHR Score],0)</f>
        <v>12</v>
      </c>
      <c r="N20">
        <f>RANK(TableMen5yr[[#This Row],[WHR I+P Score]],TableMen5yr[WHR I+P Score],0)</f>
        <v>11</v>
      </c>
      <c r="O20">
        <f>RANK(TableMen5yr[[#This Row],[Method I+P Score]],TableMen5yr[Method I+P Score],0)</f>
        <v>17</v>
      </c>
      <c r="W20">
        <v>12</v>
      </c>
      <c r="X20" t="str">
        <f>INDEX(TableMen5yr[Fighter],MATCH(LARGE(TableMen5yr[WHR Score],12),TableMen5yr[WHR Score],0))</f>
        <v>Ilia Topuria</v>
      </c>
      <c r="Y20" s="17">
        <f>INDEX(TableMen5yr[z WHR Score],MATCH($X$20,TableMen5yr[Fighter],0))</f>
        <v>0.60070217565715811</v>
      </c>
      <c r="Z20" s="17">
        <f>INDEX(TableMen5yr[z WHR I+P Score],MATCH($X$20,TableMen5yr[Fighter],0))</f>
        <v>0.60178049817599855</v>
      </c>
      <c r="AA20" s="17">
        <f>INDEX(TableMen5yr[z Method I+P Score],MATCH($X$20,TableMen5yr[Fighter],0))</f>
        <v>6.882696700647517E-2</v>
      </c>
      <c r="AB20">
        <f>INDEX(TableMen5yr[Rank WHR Score],MATCH($X$20,TableMen5yr[Fighter],0))</f>
        <v>12</v>
      </c>
      <c r="AC20">
        <f>INDEX(TableMen5yr[Rank WHR I+P Score],MATCH($X$20,TableMen5yr[Fighter],0))</f>
        <v>11</v>
      </c>
      <c r="AD20">
        <f>INDEX(TableMen5yr[Rank Method I+P Score],MATCH($X$20,TableMen5yr[Fighter],0))</f>
        <v>17</v>
      </c>
      <c r="AE20" s="20">
        <f t="shared" si="0"/>
        <v>13.333333333333334</v>
      </c>
      <c r="AF20">
        <f t="shared" si="1"/>
        <v>6</v>
      </c>
      <c r="AG20" s="17">
        <f t="shared" si="2"/>
        <v>0.53295353116952338</v>
      </c>
    </row>
    <row r="21" spans="4:33" x14ac:dyDescent="0.25">
      <c r="D21" t="s">
        <v>46</v>
      </c>
      <c r="E21" t="s">
        <v>37</v>
      </c>
      <c r="F21">
        <v>19</v>
      </c>
      <c r="G21">
        <v>1843.6</v>
      </c>
      <c r="H21">
        <v>1855.5</v>
      </c>
      <c r="I21">
        <v>2513.6</v>
      </c>
      <c r="J21" s="17">
        <f>(TableMen5yr[[#This Row],[WHR Score]]-AVERAGE(TableMen5yr[WHR Score]))/STDEV(TableMen5yr[WHR Score])</f>
        <v>0.48729537858482169</v>
      </c>
      <c r="K21" s="17">
        <f>(TableMen5yr[[#This Row],[WHR I+P Score]]-AVERAGE(TableMen5yr[WHR I+P Score]))/STDEV(TableMen5yr[WHR I+P Score])</f>
        <v>0.49527501321839129</v>
      </c>
      <c r="L21" s="17">
        <f>(TableMen5yr[[#This Row],[Method I+P Score]]-AVERAGE(TableMen5yr[Method I+P Score]))/STDEV(TableMen5yr[Method I+P Score])</f>
        <v>1.2799563198007704</v>
      </c>
      <c r="M21">
        <f>RANK(TableMen5yr[[#This Row],[WHR Score]],TableMen5yr[WHR Score],0)</f>
        <v>13</v>
      </c>
      <c r="N21">
        <f>RANK(TableMen5yr[[#This Row],[WHR I+P Score]],TableMen5yr[WHR I+P Score],0)</f>
        <v>13</v>
      </c>
      <c r="O21">
        <f>RANK(TableMen5yr[[#This Row],[Method I+P Score]],TableMen5yr[Method I+P Score],0)</f>
        <v>5</v>
      </c>
      <c r="W21">
        <v>13</v>
      </c>
      <c r="X21" t="str">
        <f>INDEX(TableMen5yr[Fighter],MATCH(LARGE(TableMen5yr[WHR Score],13),TableMen5yr[WHR Score],0))</f>
        <v>Kamaru Usman</v>
      </c>
      <c r="Y21" s="17">
        <f>INDEX(TableMen5yr[z WHR Score],MATCH($X$21,TableMen5yr[Fighter],0))</f>
        <v>0.48729537858482169</v>
      </c>
      <c r="Z21" s="17">
        <f>INDEX(TableMen5yr[z WHR I+P Score],MATCH($X$21,TableMen5yr[Fighter],0))</f>
        <v>0.49527501321839129</v>
      </c>
      <c r="AA21" s="17">
        <f>INDEX(TableMen5yr[z Method I+P Score],MATCH($X$21,TableMen5yr[Fighter],0))</f>
        <v>1.2799563198007704</v>
      </c>
      <c r="AB21">
        <f>INDEX(TableMen5yr[Rank WHR Score],MATCH($X$21,TableMen5yr[Fighter],0))</f>
        <v>13</v>
      </c>
      <c r="AC21">
        <f>INDEX(TableMen5yr[Rank WHR I+P Score],MATCH($X$21,TableMen5yr[Fighter],0))</f>
        <v>13</v>
      </c>
      <c r="AD21">
        <f>INDEX(TableMen5yr[Rank Method I+P Score],MATCH($X$21,TableMen5yr[Fighter],0))</f>
        <v>5</v>
      </c>
      <c r="AE21" s="20">
        <f t="shared" si="0"/>
        <v>10.333333333333334</v>
      </c>
      <c r="AF21">
        <f t="shared" si="1"/>
        <v>8</v>
      </c>
      <c r="AG21" s="17">
        <f t="shared" si="2"/>
        <v>0.79266094121594866</v>
      </c>
    </row>
    <row r="22" spans="4:33" x14ac:dyDescent="0.25">
      <c r="D22" t="s">
        <v>56</v>
      </c>
      <c r="E22" t="s">
        <v>41</v>
      </c>
      <c r="F22">
        <v>13</v>
      </c>
      <c r="G22">
        <v>1842.9</v>
      </c>
      <c r="H22">
        <v>1851.2</v>
      </c>
      <c r="I22">
        <v>2383.8000000000002</v>
      </c>
      <c r="J22" s="17">
        <f>(TableMen5yr[[#This Row],[WHR Score]]-AVERAGE(TableMen5yr[WHR Score]))/STDEV(TableMen5yr[WHR Score])</f>
        <v>0.47773094991607312</v>
      </c>
      <c r="K22" s="17">
        <f>(TableMen5yr[[#This Row],[WHR I+P Score]]-AVERAGE(TableMen5yr[WHR I+P Score]))/STDEV(TableMen5yr[WHR I+P Score])</f>
        <v>0.43656045099817214</v>
      </c>
      <c r="L22" s="17">
        <f>(TableMen5yr[[#This Row],[Method I+P Score]]-AVERAGE(TableMen5yr[Method I+P Score]))/STDEV(TableMen5yr[Method I+P Score])</f>
        <v>0.26179187684287469</v>
      </c>
      <c r="M22">
        <f>RANK(TableMen5yr[[#This Row],[WHR Score]],TableMen5yr[WHR Score],0)</f>
        <v>14</v>
      </c>
      <c r="N22">
        <f>RANK(TableMen5yr[[#This Row],[WHR I+P Score]],TableMen5yr[WHR I+P Score],0)</f>
        <v>14</v>
      </c>
      <c r="O22">
        <f>RANK(TableMen5yr[[#This Row],[Method I+P Score]],TableMen5yr[Method I+P Score],0)</f>
        <v>14</v>
      </c>
      <c r="W22">
        <v>14</v>
      </c>
      <c r="X22" t="str">
        <f>INDEX(TableMen5yr[Fighter],MATCH(LARGE(TableMen5yr[WHR Score],14),TableMen5yr[WHR Score],0))</f>
        <v>Khabib Nurmagomedov</v>
      </c>
      <c r="Y22" s="17">
        <f>INDEX(TableMen5yr[z WHR Score],MATCH($X$22,TableMen5yr[Fighter],0))</f>
        <v>0.47773094991607312</v>
      </c>
      <c r="Z22" s="17">
        <f>INDEX(TableMen5yr[z WHR I+P Score],MATCH($X$22,TableMen5yr[Fighter],0))</f>
        <v>0.43656045099817214</v>
      </c>
      <c r="AA22" s="17">
        <f>INDEX(TableMen5yr[z Method I+P Score],MATCH($X$22,TableMen5yr[Fighter],0))</f>
        <v>0.26179187684287469</v>
      </c>
      <c r="AB22">
        <f>INDEX(TableMen5yr[Rank WHR Score],MATCH($X$22,TableMen5yr[Fighter],0))</f>
        <v>14</v>
      </c>
      <c r="AC22">
        <f>INDEX(TableMen5yr[Rank WHR I+P Score],MATCH($X$22,TableMen5yr[Fighter],0))</f>
        <v>14</v>
      </c>
      <c r="AD22">
        <f>INDEX(TableMen5yr[Rank Method I+P Score],MATCH($X$22,TableMen5yr[Fighter],0))</f>
        <v>14</v>
      </c>
      <c r="AE22" s="20">
        <f t="shared" si="0"/>
        <v>14</v>
      </c>
      <c r="AF22">
        <f t="shared" si="1"/>
        <v>0</v>
      </c>
      <c r="AG22" s="17">
        <f t="shared" si="2"/>
        <v>0.21593907307319843</v>
      </c>
    </row>
    <row r="23" spans="4:33" x14ac:dyDescent="0.25">
      <c r="D23" t="s">
        <v>50</v>
      </c>
      <c r="E23" t="s">
        <v>43</v>
      </c>
      <c r="F23">
        <v>19</v>
      </c>
      <c r="G23">
        <v>1815.4</v>
      </c>
      <c r="H23">
        <v>1829.1</v>
      </c>
      <c r="I23">
        <v>2408.9</v>
      </c>
      <c r="J23" s="17">
        <f>(TableMen5yr[[#This Row],[WHR Score]]-AVERAGE(TableMen5yr[WHR Score]))/STDEV(TableMen5yr[WHR Score])</f>
        <v>0.10198553792942448</v>
      </c>
      <c r="K23" s="17">
        <f>(TableMen5yr[[#This Row],[WHR I+P Score]]-AVERAGE(TableMen5yr[WHR I+P Score]))/STDEV(TableMen5yr[WHR I+P Score])</f>
        <v>0.13479491028494783</v>
      </c>
      <c r="L23" s="17">
        <f>(TableMen5yr[[#This Row],[Method I+P Score]]-AVERAGE(TableMen5yr[Method I+P Score]))/STDEV(TableMen5yr[Method I+P Score])</f>
        <v>0.45867883769220558</v>
      </c>
      <c r="M23">
        <f>RANK(TableMen5yr[[#This Row],[WHR Score]],TableMen5yr[WHR Score],0)</f>
        <v>15</v>
      </c>
      <c r="N23">
        <f>RANK(TableMen5yr[[#This Row],[WHR I+P Score]],TableMen5yr[WHR I+P Score],0)</f>
        <v>15</v>
      </c>
      <c r="O23">
        <f>RANK(TableMen5yr[[#This Row],[Method I+P Score]],TableMen5yr[Method I+P Score],0)</f>
        <v>12</v>
      </c>
      <c r="W23">
        <v>15</v>
      </c>
      <c r="X23" t="str">
        <f>INDEX(TableMen5yr[Fighter],MATCH(LARGE(TableMen5yr[WHR Score],15),TableMen5yr[WHR Score],0))</f>
        <v>Stipe Miocic</v>
      </c>
      <c r="Y23" s="17">
        <f>INDEX(TableMen5yr[z WHR Score],MATCH($X$23,TableMen5yr[Fighter],0))</f>
        <v>0.10198553792942448</v>
      </c>
      <c r="Z23" s="17">
        <f>INDEX(TableMen5yr[z WHR I+P Score],MATCH($X$23,TableMen5yr[Fighter],0))</f>
        <v>0.13479491028494783</v>
      </c>
      <c r="AA23" s="17">
        <f>INDEX(TableMen5yr[z Method I+P Score],MATCH($X$23,TableMen5yr[Fighter],0))</f>
        <v>0.45867883769220558</v>
      </c>
      <c r="AB23">
        <f>INDEX(TableMen5yr[Rank WHR Score],MATCH($X$23,TableMen5yr[Fighter],0))</f>
        <v>15</v>
      </c>
      <c r="AC23">
        <f>INDEX(TableMen5yr[Rank WHR I+P Score],MATCH($X$23,TableMen5yr[Fighter],0))</f>
        <v>15</v>
      </c>
      <c r="AD23">
        <f>INDEX(TableMen5yr[Rank Method I+P Score],MATCH($X$23,TableMen5yr[Fighter],0))</f>
        <v>12</v>
      </c>
      <c r="AE23" s="20">
        <f t="shared" si="0"/>
        <v>14</v>
      </c>
      <c r="AF23">
        <f t="shared" si="1"/>
        <v>3</v>
      </c>
      <c r="AG23" s="17">
        <f t="shared" si="2"/>
        <v>0.35669329976278108</v>
      </c>
    </row>
    <row r="24" spans="4:33" x14ac:dyDescent="0.25">
      <c r="D24" t="s">
        <v>49</v>
      </c>
      <c r="E24" t="s">
        <v>39</v>
      </c>
      <c r="F24">
        <v>32</v>
      </c>
      <c r="G24">
        <v>1811.7</v>
      </c>
      <c r="H24">
        <v>1824.7</v>
      </c>
      <c r="I24">
        <v>2350.5</v>
      </c>
      <c r="J24" s="17">
        <f>(TableMen5yr[[#This Row],[WHR Score]]-AVERAGE(TableMen5yr[WHR Score]))/STDEV(TableMen5yr[WHR Score])</f>
        <v>5.143070068031113E-2</v>
      </c>
      <c r="K24" s="17">
        <f>(TableMen5yr[[#This Row],[WHR I+P Score]]-AVERAGE(TableMen5yr[WHR I+P Score]))/STDEV(TableMen5yr[WHR I+P Score])</f>
        <v>7.4714893129376E-2</v>
      </c>
      <c r="L24" s="17">
        <f>(TableMen5yr[[#This Row],[Method I+P Score]]-AVERAGE(TableMen5yr[Method I+P Score]))/STDEV(TableMen5yr[Method I+P Score])</f>
        <v>5.832793814094764E-4</v>
      </c>
      <c r="M24">
        <f>RANK(TableMen5yr[[#This Row],[WHR Score]],TableMen5yr[WHR Score],0)</f>
        <v>16</v>
      </c>
      <c r="N24">
        <f>RANK(TableMen5yr[[#This Row],[WHR I+P Score]],TableMen5yr[WHR I+P Score],0)</f>
        <v>16</v>
      </c>
      <c r="O24">
        <f>RANK(TableMen5yr[[#This Row],[Method I+P Score]],TableMen5yr[Method I+P Score],0)</f>
        <v>20</v>
      </c>
      <c r="W24">
        <v>16</v>
      </c>
      <c r="X24" t="str">
        <f>INDEX(TableMen5yr[Fighter],MATCH(LARGE(TableMen5yr[WHR Score],16),TableMen5yr[WHR Score],0))</f>
        <v>Max Holloway</v>
      </c>
      <c r="Y24" s="17">
        <f>INDEX(TableMen5yr[z WHR Score],MATCH($X$24,TableMen5yr[Fighter],0))</f>
        <v>5.143070068031113E-2</v>
      </c>
      <c r="Z24" s="17">
        <f>INDEX(TableMen5yr[z WHR I+P Score],MATCH($X$24,TableMen5yr[Fighter],0))</f>
        <v>7.4714893129376E-2</v>
      </c>
      <c r="AA24" s="17">
        <f>INDEX(TableMen5yr[z Method I+P Score],MATCH($X$24,TableMen5yr[Fighter],0))</f>
        <v>5.832793814094764E-4</v>
      </c>
      <c r="AB24">
        <f>INDEX(TableMen5yr[Rank WHR Score],MATCH($X$24,TableMen5yr[Fighter],0))</f>
        <v>16</v>
      </c>
      <c r="AC24">
        <f>INDEX(TableMen5yr[Rank WHR I+P Score],MATCH($X$24,TableMen5yr[Fighter],0))</f>
        <v>16</v>
      </c>
      <c r="AD24">
        <f>INDEX(TableMen5yr[Rank Method I+P Score],MATCH($X$24,TableMen5yr[Fighter],0))</f>
        <v>20</v>
      </c>
      <c r="AE24" s="20">
        <f t="shared" si="0"/>
        <v>17.333333333333332</v>
      </c>
      <c r="AF24">
        <f t="shared" si="1"/>
        <v>4</v>
      </c>
      <c r="AG24" s="17">
        <f t="shared" si="2"/>
        <v>7.4131613747966521E-2</v>
      </c>
    </row>
    <row r="25" spans="4:33" x14ac:dyDescent="0.25">
      <c r="D25" t="s">
        <v>74</v>
      </c>
      <c r="E25" t="s">
        <v>47</v>
      </c>
      <c r="F25">
        <v>17</v>
      </c>
      <c r="G25">
        <v>1809.9</v>
      </c>
      <c r="H25">
        <v>1823.1</v>
      </c>
      <c r="I25">
        <v>2356.6999999999998</v>
      </c>
      <c r="J25" s="17">
        <f>(TableMen5yr[[#This Row],[WHR Score]]-AVERAGE(TableMen5yr[WHR Score]))/STDEV(TableMen5yr[WHR Score])</f>
        <v>2.6836455532094745E-2</v>
      </c>
      <c r="K25" s="17">
        <f>(TableMen5yr[[#This Row],[WHR I+P Score]]-AVERAGE(TableMen5yr[WHR I+P Score]))/STDEV(TableMen5yr[WHR I+P Score])</f>
        <v>5.2867614163710976E-2</v>
      </c>
      <c r="L25" s="17">
        <f>(TableMen5yr[[#This Row],[Method I+P Score]]-AVERAGE(TableMen5yr[Method I+P Score]))/STDEV(TableMen5yr[Method I+P Score])</f>
        <v>4.921671194180071E-2</v>
      </c>
      <c r="M25">
        <f>RANK(TableMen5yr[[#This Row],[WHR Score]],TableMen5yr[WHR Score],0)</f>
        <v>17</v>
      </c>
      <c r="N25">
        <f>RANK(TableMen5yr[[#This Row],[WHR I+P Score]],TableMen5yr[WHR I+P Score],0)</f>
        <v>17</v>
      </c>
      <c r="O25">
        <f>RANK(TableMen5yr[[#This Row],[Method I+P Score]],TableMen5yr[Method I+P Score],0)</f>
        <v>18</v>
      </c>
      <c r="W25">
        <v>17</v>
      </c>
      <c r="X25" t="str">
        <f>INDEX(TableMen5yr[Fighter],MATCH(LARGE(TableMen5yr[WHR Score],17),TableMen5yr[WHR Score],0))</f>
        <v>Merab Dvalishvili</v>
      </c>
      <c r="Y25" s="17">
        <f>INDEX(TableMen5yr[z WHR Score],MATCH($X$25,TableMen5yr[Fighter],0))</f>
        <v>2.6836455532094745E-2</v>
      </c>
      <c r="Z25" s="17">
        <f>INDEX(TableMen5yr[z WHR I+P Score],MATCH($X$25,TableMen5yr[Fighter],0))</f>
        <v>5.2867614163710976E-2</v>
      </c>
      <c r="AA25" s="17">
        <f>INDEX(TableMen5yr[z Method I+P Score],MATCH($X$25,TableMen5yr[Fighter],0))</f>
        <v>4.921671194180071E-2</v>
      </c>
      <c r="AB25">
        <f>INDEX(TableMen5yr[Rank WHR Score],MATCH($X$25,TableMen5yr[Fighter],0))</f>
        <v>17</v>
      </c>
      <c r="AC25">
        <f>INDEX(TableMen5yr[Rank WHR I+P Score],MATCH($X$25,TableMen5yr[Fighter],0))</f>
        <v>17</v>
      </c>
      <c r="AD25">
        <f>INDEX(TableMen5yr[Rank Method I+P Score],MATCH($X$25,TableMen5yr[Fighter],0))</f>
        <v>18</v>
      </c>
      <c r="AE25" s="20">
        <f t="shared" si="0"/>
        <v>17.333333333333332</v>
      </c>
      <c r="AF25">
        <f t="shared" si="1"/>
        <v>1</v>
      </c>
      <c r="AG25" s="17">
        <f t="shared" si="2"/>
        <v>2.603115863161623E-2</v>
      </c>
    </row>
    <row r="26" spans="4:33" x14ac:dyDescent="0.25">
      <c r="D26" t="s">
        <v>72</v>
      </c>
      <c r="E26" t="s">
        <v>43</v>
      </c>
      <c r="F26">
        <v>20</v>
      </c>
      <c r="G26">
        <v>1806.2</v>
      </c>
      <c r="H26">
        <v>1820.2</v>
      </c>
      <c r="I26" s="18">
        <v>2141.5</v>
      </c>
      <c r="J26" s="17">
        <f>(TableMen5yr[[#This Row],[WHR Score]]-AVERAGE(TableMen5yr[WHR Score]))/STDEV(TableMen5yr[WHR Score])</f>
        <v>-2.3718381717018604E-2</v>
      </c>
      <c r="K26" s="17">
        <f>(TableMen5yr[[#This Row],[WHR I+P Score]]-AVERAGE(TableMen5yr[WHR I+P Score]))/STDEV(TableMen5yr[WHR I+P Score])</f>
        <v>1.3269421038448354E-2</v>
      </c>
      <c r="L26" s="17">
        <f>(TableMen5yr[[#This Row],[Method I+P Score]]-AVERAGE(TableMen5yr[Method I+P Score]))/STDEV(TableMen5yr[Method I+P Score])</f>
        <v>-1.6388340440253752</v>
      </c>
      <c r="M26">
        <f>RANK(TableMen5yr[[#This Row],[WHR Score]],TableMen5yr[WHR Score],0)</f>
        <v>18</v>
      </c>
      <c r="N26">
        <f>RANK(TableMen5yr[[#This Row],[WHR I+P Score]],TableMen5yr[WHR I+P Score],0)</f>
        <v>18</v>
      </c>
      <c r="O26">
        <f>RANK(TableMen5yr[[#This Row],[Method I+P Score]],TableMen5yr[Method I+P Score],0)</f>
        <v>38</v>
      </c>
      <c r="W26">
        <v>18</v>
      </c>
      <c r="X26" t="str">
        <f>INDEX(TableMen5yr[Fighter],MATCH(LARGE(TableMen5yr[WHR Score],18),TableMen5yr[WHR Score],0))</f>
        <v>Randy Couture</v>
      </c>
      <c r="Y26" s="17">
        <f>INDEX(TableMen5yr[z WHR Score],MATCH($X$26,TableMen5yr[Fighter],0))</f>
        <v>-2.3718381717018604E-2</v>
      </c>
      <c r="Z26" s="17">
        <f>INDEX(TableMen5yr[z WHR I+P Score],MATCH($X$26,TableMen5yr[Fighter],0))</f>
        <v>1.3269421038448354E-2</v>
      </c>
      <c r="AA26" s="17">
        <f>INDEX(TableMen5yr[z Method I+P Score],MATCH($X$26,TableMen5yr[Fighter],0))</f>
        <v>-1.6388340440253752</v>
      </c>
      <c r="AB26">
        <f>INDEX(TableMen5yr[Rank WHR Score],MATCH($X$26,TableMen5yr[Fighter],0))</f>
        <v>18</v>
      </c>
      <c r="AC26">
        <f>INDEX(TableMen5yr[Rank WHR I+P Score],MATCH($X$26,TableMen5yr[Fighter],0))</f>
        <v>18</v>
      </c>
      <c r="AD26">
        <f>INDEX(TableMen5yr[Rank Method I+P Score],MATCH($X$26,TableMen5yr[Fighter],0))</f>
        <v>38</v>
      </c>
      <c r="AE26" s="20">
        <f t="shared" si="0"/>
        <v>24.666666666666668</v>
      </c>
      <c r="AF26">
        <f t="shared" si="1"/>
        <v>20</v>
      </c>
      <c r="AG26" s="17">
        <f t="shared" si="2"/>
        <v>1.6521034650638236</v>
      </c>
    </row>
    <row r="27" spans="4:33" x14ac:dyDescent="0.25">
      <c r="D27" t="s">
        <v>70</v>
      </c>
      <c r="E27" t="s">
        <v>47</v>
      </c>
      <c r="F27">
        <v>18</v>
      </c>
      <c r="G27">
        <v>1794.9</v>
      </c>
      <c r="H27">
        <v>1804</v>
      </c>
      <c r="I27" s="18">
        <v>2220.1999999999998</v>
      </c>
      <c r="J27" s="17">
        <f>(TableMen5yr[[#This Row],[WHR Score]]-AVERAGE(TableMen5yr[WHR Score]))/STDEV(TableMen5yr[WHR Score])</f>
        <v>-0.17811558736971361</v>
      </c>
      <c r="K27" s="17">
        <f>(TableMen5yr[[#This Row],[WHR I+P Score]]-AVERAGE(TableMen5yr[WHR I+P Score]))/STDEV(TableMen5yr[WHR I+P Score])</f>
        <v>-0.20793427848889179</v>
      </c>
      <c r="L27" s="17">
        <f>(TableMen5yr[[#This Row],[Method I+P Score]]-AVERAGE(TableMen5yr[Method I+P Score]))/STDEV(TableMen5yr[Method I+P Score])</f>
        <v>-1.0215032145894247</v>
      </c>
      <c r="M27">
        <f>RANK(TableMen5yr[[#This Row],[WHR Score]],TableMen5yr[WHR Score],0)</f>
        <v>19</v>
      </c>
      <c r="N27">
        <f>RANK(TableMen5yr[[#This Row],[WHR I+P Score]],TableMen5yr[WHR I+P Score],0)</f>
        <v>21</v>
      </c>
      <c r="O27">
        <f>RANK(TableMen5yr[[#This Row],[Method I+P Score]],TableMen5yr[Method I+P Score],0)</f>
        <v>34</v>
      </c>
      <c r="W27">
        <v>19</v>
      </c>
      <c r="X27" t="str">
        <f>INDEX(TableMen5yr[Fighter],MATCH(LARGE(TableMen5yr[WHR Score],19),TableMen5yr[WHR Score],0))</f>
        <v>TJ Dillashaw</v>
      </c>
      <c r="Y27" s="17">
        <f>INDEX(TableMen5yr[z WHR Score],MATCH($X$27,TableMen5yr[Fighter],0))</f>
        <v>-0.17811558736971361</v>
      </c>
      <c r="Z27" s="17">
        <f>INDEX(TableMen5yr[z WHR I+P Score],MATCH($X$27,TableMen5yr[Fighter],0))</f>
        <v>-0.20793427848889179</v>
      </c>
      <c r="AA27" s="17">
        <f>INDEX(TableMen5yr[z Method I+P Score],MATCH($X$27,TableMen5yr[Fighter],0))</f>
        <v>-1.0215032145894247</v>
      </c>
      <c r="AB27">
        <f>INDEX(TableMen5yr[Rank WHR Score],MATCH($X$27,TableMen5yr[Fighter],0))</f>
        <v>19</v>
      </c>
      <c r="AC27">
        <f>INDEX(TableMen5yr[Rank WHR I+P Score],MATCH($X$27,TableMen5yr[Fighter],0))</f>
        <v>21</v>
      </c>
      <c r="AD27">
        <f>INDEX(TableMen5yr[Rank Method I+P Score],MATCH($X$27,TableMen5yr[Fighter],0))</f>
        <v>34</v>
      </c>
      <c r="AE27" s="20">
        <f t="shared" si="0"/>
        <v>24.666666666666668</v>
      </c>
      <c r="AF27">
        <f t="shared" si="1"/>
        <v>15</v>
      </c>
      <c r="AG27" s="17">
        <f t="shared" si="2"/>
        <v>0.84338762721971117</v>
      </c>
    </row>
    <row r="28" spans="4:33" x14ac:dyDescent="0.25">
      <c r="D28" t="s">
        <v>59</v>
      </c>
      <c r="E28" t="s">
        <v>47</v>
      </c>
      <c r="F28">
        <v>23</v>
      </c>
      <c r="G28">
        <v>1792.8</v>
      </c>
      <c r="H28">
        <v>1804.3</v>
      </c>
      <c r="I28">
        <v>2353.4</v>
      </c>
      <c r="J28" s="17">
        <f>(TableMen5yr[[#This Row],[WHR Score]]-AVERAGE(TableMen5yr[WHR Score]))/STDEV(TableMen5yr[WHR Score])</f>
        <v>-0.20680887337596865</v>
      </c>
      <c r="K28" s="17">
        <f>(TableMen5yr[[#This Row],[WHR I+P Score]]-AVERAGE(TableMen5yr[WHR I+P Score]))/STDEV(TableMen5yr[WHR I+P Score])</f>
        <v>-0.20383791368283058</v>
      </c>
      <c r="L28" s="17">
        <f>(TableMen5yr[[#This Row],[Method I+P Score]]-AVERAGE(TableMen5yr[Method I+P Score]))/STDEV(TableMen5yr[Method I+P Score])</f>
        <v>2.3331175256432562E-2</v>
      </c>
      <c r="M28">
        <f>RANK(TableMen5yr[[#This Row],[WHR Score]],TableMen5yr[WHR Score],0)</f>
        <v>20</v>
      </c>
      <c r="N28">
        <f>RANK(TableMen5yr[[#This Row],[WHR I+P Score]],TableMen5yr[WHR I+P Score],0)</f>
        <v>20</v>
      </c>
      <c r="O28">
        <f>RANK(TableMen5yr[[#This Row],[Method I+P Score]],TableMen5yr[Method I+P Score],0)</f>
        <v>19</v>
      </c>
      <c r="W28">
        <v>20</v>
      </c>
      <c r="X28" t="str">
        <f>INDEX(TableMen5yr[Fighter],MATCH(LARGE(TableMen5yr[WHR Score],20),TableMen5yr[WHR Score],0))</f>
        <v>Aljamain Sterling</v>
      </c>
      <c r="Y28" s="17">
        <f>INDEX(TableMen5yr[z WHR Score],MATCH($X$28,TableMen5yr[Fighter],0))</f>
        <v>-0.20680887337596865</v>
      </c>
      <c r="Z28" s="17">
        <f>INDEX(TableMen5yr[z WHR I+P Score],MATCH($X$28,TableMen5yr[Fighter],0))</f>
        <v>-0.20383791368283058</v>
      </c>
      <c r="AA28" s="17">
        <f>INDEX(TableMen5yr[z Method I+P Score],MATCH($X$28,TableMen5yr[Fighter],0))</f>
        <v>2.3331175256432562E-2</v>
      </c>
      <c r="AB28">
        <f>INDEX(TableMen5yr[Rank WHR Score],MATCH($X$28,TableMen5yr[Fighter],0))</f>
        <v>20</v>
      </c>
      <c r="AC28">
        <f>INDEX(TableMen5yr[Rank WHR I+P Score],MATCH($X$28,TableMen5yr[Fighter],0))</f>
        <v>20</v>
      </c>
      <c r="AD28">
        <f>INDEX(TableMen5yr[Rank Method I+P Score],MATCH($X$28,TableMen5yr[Fighter],0))</f>
        <v>19</v>
      </c>
      <c r="AE28" s="20">
        <f t="shared" si="0"/>
        <v>19.666666666666668</v>
      </c>
      <c r="AF28">
        <f t="shared" si="1"/>
        <v>1</v>
      </c>
      <c r="AG28" s="17">
        <f t="shared" si="2"/>
        <v>0.2301400486324012</v>
      </c>
    </row>
    <row r="29" spans="4:33" x14ac:dyDescent="0.25">
      <c r="D29" t="s">
        <v>51</v>
      </c>
      <c r="E29" t="s">
        <v>41</v>
      </c>
      <c r="F29">
        <v>14</v>
      </c>
      <c r="G29">
        <v>1792.1</v>
      </c>
      <c r="H29">
        <v>1806.2</v>
      </c>
      <c r="I29">
        <v>2378</v>
      </c>
      <c r="J29" s="17">
        <f>(TableMen5yr[[#This Row],[WHR Score]]-AVERAGE(TableMen5yr[WHR Score]))/STDEV(TableMen5yr[WHR Score])</f>
        <v>-0.21637330204472033</v>
      </c>
      <c r="K29" s="17">
        <f>(TableMen5yr[[#This Row],[WHR I+P Score]]-AVERAGE(TableMen5yr[WHR I+P Score]))/STDEV(TableMen5yr[WHR I+P Score])</f>
        <v>-0.17789426991110432</v>
      </c>
      <c r="L29" s="17">
        <f>(TableMen5yr[[#This Row],[Method I+P Score]]-AVERAGE(TableMen5yr[Method I+P Score]))/STDEV(TableMen5yr[Method I+P Score])</f>
        <v>0.21629608509282852</v>
      </c>
      <c r="M29">
        <f>RANK(TableMen5yr[[#This Row],[WHR Score]],TableMen5yr[WHR Score],0)</f>
        <v>21</v>
      </c>
      <c r="N29">
        <f>RANK(TableMen5yr[[#This Row],[WHR I+P Score]],TableMen5yr[WHR I+P Score],0)</f>
        <v>19</v>
      </c>
      <c r="O29">
        <f>RANK(TableMen5yr[[#This Row],[Method I+P Score]],TableMen5yr[Method I+P Score],0)</f>
        <v>16</v>
      </c>
    </row>
    <row r="30" spans="4:33" x14ac:dyDescent="0.25">
      <c r="D30" t="s">
        <v>84</v>
      </c>
      <c r="E30" t="s">
        <v>33</v>
      </c>
      <c r="F30">
        <v>10</v>
      </c>
      <c r="G30">
        <v>1789.8</v>
      </c>
      <c r="H30">
        <v>1802.9</v>
      </c>
      <c r="I30">
        <v>2279.5</v>
      </c>
      <c r="J30" s="17">
        <f>(TableMen5yr[[#This Row],[WHR Score]]-AVERAGE(TableMen5yr[WHR Score]))/STDEV(TableMen5yr[WHR Score])</f>
        <v>-0.24779928195633033</v>
      </c>
      <c r="K30" s="17">
        <f>(TableMen5yr[[#This Row],[WHR I+P Score]]-AVERAGE(TableMen5yr[WHR I+P Score]))/STDEV(TableMen5yr[WHR I+P Score])</f>
        <v>-0.22295428277778398</v>
      </c>
      <c r="L30" s="17">
        <f>(TableMen5yr[[#This Row],[Method I+P Score]]-AVERAGE(TableMen5yr[Method I+P Score]))/STDEV(TableMen5yr[Method I+P Score])</f>
        <v>-0.55634796445534518</v>
      </c>
      <c r="M30">
        <f>RANK(TableMen5yr[[#This Row],[WHR Score]],TableMen5yr[WHR Score],0)</f>
        <v>22</v>
      </c>
      <c r="N30">
        <f>RANK(TableMen5yr[[#This Row],[WHR I+P Score]],TableMen5yr[WHR I+P Score],0)</f>
        <v>22</v>
      </c>
      <c r="O30">
        <f>RANK(TableMen5yr[[#This Row],[Method I+P Score]],TableMen5yr[Method I+P Score],0)</f>
        <v>29</v>
      </c>
    </row>
    <row r="31" spans="4:33" x14ac:dyDescent="0.25">
      <c r="D31" t="s">
        <v>77</v>
      </c>
      <c r="E31" t="s">
        <v>45</v>
      </c>
      <c r="F31">
        <v>18</v>
      </c>
      <c r="G31">
        <v>1788.2</v>
      </c>
      <c r="H31">
        <v>1797.1</v>
      </c>
      <c r="I31" s="18">
        <v>2235</v>
      </c>
      <c r="J31" s="17">
        <f>(TableMen5yr[[#This Row],[WHR Score]]-AVERAGE(TableMen5yr[WHR Score]))/STDEV(TableMen5yr[WHR Score])</f>
        <v>-0.26966083319918865</v>
      </c>
      <c r="K31" s="17">
        <f>(TableMen5yr[[#This Row],[WHR I+P Score]]-AVERAGE(TableMen5yr[WHR I+P Score]))/STDEV(TableMen5yr[WHR I+P Score])</f>
        <v>-0.30215066902831544</v>
      </c>
      <c r="L31" s="17">
        <f>(TableMen5yr[[#This Row],[Method I+P Score]]-AVERAGE(TableMen5yr[Method I+P Score]))/STDEV(TableMen5yr[Method I+P Score])</f>
        <v>-0.90541050460655048</v>
      </c>
      <c r="M31">
        <f>RANK(TableMen5yr[[#This Row],[WHR Score]],TableMen5yr[WHR Score],0)</f>
        <v>23</v>
      </c>
      <c r="N31">
        <f>RANK(TableMen5yr[[#This Row],[WHR I+P Score]],TableMen5yr[WHR I+P Score],0)</f>
        <v>24</v>
      </c>
      <c r="O31">
        <f>RANK(TableMen5yr[[#This Row],[Method I+P Score]],TableMen5yr[Method I+P Score],0)</f>
        <v>33</v>
      </c>
    </row>
    <row r="32" spans="4:33" x14ac:dyDescent="0.25">
      <c r="D32" t="s">
        <v>61</v>
      </c>
      <c r="E32" t="s">
        <v>45</v>
      </c>
      <c r="F32">
        <v>16</v>
      </c>
      <c r="G32">
        <v>1786.3</v>
      </c>
      <c r="H32">
        <v>1797.3</v>
      </c>
      <c r="I32" s="18">
        <v>2246.5</v>
      </c>
      <c r="J32" s="17">
        <f>(TableMen5yr[[#This Row],[WHR Score]]-AVERAGE(TableMen5yr[WHR Score]))/STDEV(TableMen5yr[WHR Score])</f>
        <v>-0.29562142530008562</v>
      </c>
      <c r="K32" s="17">
        <f>(TableMen5yr[[#This Row],[WHR I+P Score]]-AVERAGE(TableMen5yr[WHR I+P Score]))/STDEV(TableMen5yr[WHR I+P Score])</f>
        <v>-0.29941975915760694</v>
      </c>
      <c r="L32" s="17">
        <f>(TableMen5yr[[#This Row],[Method I+P Score]]-AVERAGE(TableMen5yr[Method I+P Score]))/STDEV(TableMen5yr[Method I+P Score])</f>
        <v>-0.81520333130904798</v>
      </c>
      <c r="M32">
        <f>RANK(TableMen5yr[[#This Row],[WHR Score]],TableMen5yr[WHR Score],0)</f>
        <v>24</v>
      </c>
      <c r="N32">
        <f>RANK(TableMen5yr[[#This Row],[WHR I+P Score]],TableMen5yr[WHR I+P Score],0)</f>
        <v>23</v>
      </c>
      <c r="O32">
        <f>RANK(TableMen5yr[[#This Row],[Method I+P Score]],TableMen5yr[Method I+P Score],0)</f>
        <v>31</v>
      </c>
    </row>
    <row r="33" spans="4:15" x14ac:dyDescent="0.25">
      <c r="D33" t="s">
        <v>58</v>
      </c>
      <c r="E33" t="s">
        <v>43</v>
      </c>
      <c r="F33">
        <v>15</v>
      </c>
      <c r="G33">
        <v>1782.8</v>
      </c>
      <c r="H33">
        <v>1785.2</v>
      </c>
      <c r="I33">
        <v>2325.1999999999998</v>
      </c>
      <c r="J33" s="17">
        <f>(TableMen5yr[[#This Row],[WHR Score]]-AVERAGE(TableMen5yr[WHR Score]))/STDEV(TableMen5yr[WHR Score])</f>
        <v>-0.3434435686438409</v>
      </c>
      <c r="K33" s="17">
        <f>(TableMen5yr[[#This Row],[WHR I+P Score]]-AVERAGE(TableMen5yr[WHR I+P Score]))/STDEV(TableMen5yr[WHR I+P Score])</f>
        <v>-0.46463980633543334</v>
      </c>
      <c r="L33" s="17">
        <f>(TableMen5yr[[#This Row],[Method I+P Score]]-AVERAGE(TableMen5yr[Method I+P Score]))/STDEV(TableMen5yr[Method I+P Score])</f>
        <v>-0.19787250187309746</v>
      </c>
      <c r="M33">
        <f>RANK(TableMen5yr[[#This Row],[WHR Score]],TableMen5yr[WHR Score],0)</f>
        <v>25</v>
      </c>
      <c r="N33">
        <f>RANK(TableMen5yr[[#This Row],[WHR I+P Score]],TableMen5yr[WHR I+P Score],0)</f>
        <v>25</v>
      </c>
      <c r="O33">
        <f>RANK(TableMen5yr[[#This Row],[Method I+P Score]],TableMen5yr[Method I+P Score],0)</f>
        <v>24</v>
      </c>
    </row>
    <row r="34" spans="4:15" x14ac:dyDescent="0.25">
      <c r="D34" t="s">
        <v>75</v>
      </c>
      <c r="E34" t="s">
        <v>35</v>
      </c>
      <c r="F34">
        <v>20</v>
      </c>
      <c r="G34">
        <v>1772.4</v>
      </c>
      <c r="H34">
        <v>1781.7</v>
      </c>
      <c r="I34" s="18">
        <v>2177.6</v>
      </c>
      <c r="J34" s="17">
        <f>(TableMen5yr[[#This Row],[WHR Score]]-AVERAGE(TableMen5yr[WHR Score]))/STDEV(TableMen5yr[WHR Score])</f>
        <v>-0.48554365172242614</v>
      </c>
      <c r="K34" s="17">
        <f>(TableMen5yr[[#This Row],[WHR I+P Score]]-AVERAGE(TableMen5yr[WHR I+P Score]))/STDEV(TableMen5yr[WHR I+P Score])</f>
        <v>-0.5124307290728215</v>
      </c>
      <c r="L34" s="17">
        <f>(TableMen5yr[[#This Row],[Method I+P Score]]-AVERAGE(TableMen5yr[Method I+P Score]))/STDEV(TableMen5yr[Method I+P Score])</f>
        <v>-1.3556619608914768</v>
      </c>
      <c r="M34">
        <f>RANK(TableMen5yr[[#This Row],[WHR Score]],TableMen5yr[WHR Score],0)</f>
        <v>26</v>
      </c>
      <c r="N34">
        <f>RANK(TableMen5yr[[#This Row],[WHR I+P Score]],TableMen5yr[WHR I+P Score],0)</f>
        <v>28</v>
      </c>
      <c r="O34">
        <f>RANK(TableMen5yr[[#This Row],[Method I+P Score]],TableMen5yr[Method I+P Score],0)</f>
        <v>36</v>
      </c>
    </row>
    <row r="35" spans="4:15" x14ac:dyDescent="0.25">
      <c r="D35" t="s">
        <v>76</v>
      </c>
      <c r="E35" t="s">
        <v>43</v>
      </c>
      <c r="F35">
        <v>13</v>
      </c>
      <c r="G35">
        <v>1769.8</v>
      </c>
      <c r="H35">
        <v>1785.2</v>
      </c>
      <c r="I35" s="18">
        <v>2157.3000000000002</v>
      </c>
      <c r="J35" s="17">
        <f>(TableMen5yr[[#This Row],[WHR Score]]-AVERAGE(TableMen5yr[WHR Score]))/STDEV(TableMen5yr[WHR Score])</f>
        <v>-0.52106867249207478</v>
      </c>
      <c r="K35" s="17">
        <f>(TableMen5yr[[#This Row],[WHR I+P Score]]-AVERAGE(TableMen5yr[WHR I+P Score]))/STDEV(TableMen5yr[WHR I+P Score])</f>
        <v>-0.46463980633543334</v>
      </c>
      <c r="L35" s="17">
        <f>(TableMen5yr[[#This Row],[Method I+P Score]]-AVERAGE(TableMen5yr[Method I+P Score]))/STDEV(TableMen5yr[Method I+P Score])</f>
        <v>-1.5148972320166312</v>
      </c>
      <c r="M35">
        <f>RANK(TableMen5yr[[#This Row],[WHR Score]],TableMen5yr[WHR Score],0)</f>
        <v>27</v>
      </c>
      <c r="N35">
        <f>RANK(TableMen5yr[[#This Row],[WHR I+P Score]],TableMen5yr[WHR I+P Score],0)</f>
        <v>25</v>
      </c>
      <c r="O35">
        <f>RANK(TableMen5yr[[#This Row],[Method I+P Score]],TableMen5yr[Method I+P Score],0)</f>
        <v>37</v>
      </c>
    </row>
    <row r="36" spans="4:15" x14ac:dyDescent="0.25">
      <c r="D36" t="s">
        <v>53</v>
      </c>
      <c r="E36" t="s">
        <v>39</v>
      </c>
      <c r="F36">
        <v>14</v>
      </c>
      <c r="G36">
        <v>1768.6</v>
      </c>
      <c r="H36">
        <v>1782.2</v>
      </c>
      <c r="I36">
        <v>2382.6999999999998</v>
      </c>
      <c r="J36" s="17">
        <f>(TableMen5yr[[#This Row],[WHR Score]]-AVERAGE(TableMen5yr[WHR Score]))/STDEV(TableMen5yr[WHR Score])</f>
        <v>-0.53746483592422012</v>
      </c>
      <c r="K36" s="17">
        <f>(TableMen5yr[[#This Row],[WHR I+P Score]]-AVERAGE(TableMen5yr[WHR I+P Score]))/STDEV(TableMen5yr[WHR I+P Score])</f>
        <v>-0.50560345439605181</v>
      </c>
      <c r="L36" s="17">
        <f>(TableMen5yr[[#This Row],[Method I+P Score]]-AVERAGE(TableMen5yr[Method I+P Score]))/STDEV(TableMen5yr[Method I+P Score])</f>
        <v>0.25316336461441508</v>
      </c>
      <c r="M36">
        <f>RANK(TableMen5yr[[#This Row],[WHR Score]],TableMen5yr[WHR Score],0)</f>
        <v>28</v>
      </c>
      <c r="N36">
        <f>RANK(TableMen5yr[[#This Row],[WHR I+P Score]],TableMen5yr[WHR I+P Score],0)</f>
        <v>27</v>
      </c>
      <c r="O36">
        <f>RANK(TableMen5yr[[#This Row],[Method I+P Score]],TableMen5yr[Method I+P Score],0)</f>
        <v>15</v>
      </c>
    </row>
    <row r="37" spans="4:15" x14ac:dyDescent="0.25">
      <c r="D37" t="s">
        <v>52</v>
      </c>
      <c r="E37" t="s">
        <v>33</v>
      </c>
      <c r="F37">
        <v>20</v>
      </c>
      <c r="G37">
        <v>1765.9</v>
      </c>
      <c r="H37">
        <v>1776.1</v>
      </c>
      <c r="I37">
        <v>2425.6</v>
      </c>
      <c r="J37" s="17">
        <f>(TableMen5yr[[#This Row],[WHR Score]]-AVERAGE(TableMen5yr[WHR Score]))/STDEV(TableMen5yr[WHR Score])</f>
        <v>-0.57435620364654316</v>
      </c>
      <c r="K37" s="17">
        <f>(TableMen5yr[[#This Row],[WHR I+P Score]]-AVERAGE(TableMen5yr[WHR I+P Score]))/STDEV(TableMen5yr[WHR I+P Score])</f>
        <v>-0.58889620545264443</v>
      </c>
      <c r="L37" s="17">
        <f>(TableMen5yr[[#This Row],[Method I+P Score]]-AVERAGE(TableMen5yr[Method I+P Score]))/STDEV(TableMen5yr[Method I+P Score])</f>
        <v>0.58967534152422951</v>
      </c>
      <c r="M37">
        <f>RANK(TableMen5yr[[#This Row],[WHR Score]],TableMen5yr[WHR Score],0)</f>
        <v>29</v>
      </c>
      <c r="N37">
        <f>RANK(TableMen5yr[[#This Row],[WHR I+P Score]],TableMen5yr[WHR I+P Score],0)</f>
        <v>29</v>
      </c>
      <c r="O37">
        <f>RANK(TableMen5yr[[#This Row],[Method I+P Score]],TableMen5yr[Method I+P Score],0)</f>
        <v>11</v>
      </c>
    </row>
    <row r="38" spans="4:15" x14ac:dyDescent="0.25">
      <c r="D38" t="s">
        <v>85</v>
      </c>
      <c r="E38" t="s">
        <v>35</v>
      </c>
      <c r="F38">
        <v>21</v>
      </c>
      <c r="G38">
        <v>1765.3</v>
      </c>
      <c r="H38" s="18">
        <v>1768.7</v>
      </c>
      <c r="I38" s="18">
        <v>2044.2</v>
      </c>
      <c r="J38" s="17">
        <f>(TableMen5yr[[#This Row],[WHR Score]]-AVERAGE(TableMen5yr[WHR Score]))/STDEV(TableMen5yr[WHR Score])</f>
        <v>-0.58255428536261733</v>
      </c>
      <c r="K38" s="17">
        <f>(TableMen5yr[[#This Row],[WHR I+P Score]]-AVERAGE(TableMen5yr[WHR I+P Score]))/STDEV(TableMen5yr[WHR I+P Score])</f>
        <v>-0.68993987066883466</v>
      </c>
      <c r="L38" s="17">
        <f>(TableMen5yr[[#This Row],[Method I+P Score]]-AVERAGE(TableMen5yr[Method I+P Score]))/STDEV(TableMen5yr[Method I+P Score])</f>
        <v>-2.402065171142505</v>
      </c>
      <c r="M38">
        <f>RANK(TableMen5yr[[#This Row],[WHR Score]],TableMen5yr[WHR Score],0)</f>
        <v>30</v>
      </c>
      <c r="N38">
        <f>RANK(TableMen5yr[[#This Row],[WHR I+P Score]],TableMen5yr[WHR I+P Score],0)</f>
        <v>31</v>
      </c>
      <c r="O38">
        <f>RANK(TableMen5yr[[#This Row],[Method I+P Score]],TableMen5yr[Method I+P Score],0)</f>
        <v>39</v>
      </c>
    </row>
    <row r="39" spans="4:15" x14ac:dyDescent="0.25">
      <c r="D39" t="s">
        <v>71</v>
      </c>
      <c r="E39" t="s">
        <v>43</v>
      </c>
      <c r="F39">
        <v>14</v>
      </c>
      <c r="G39" s="18">
        <v>1761.7</v>
      </c>
      <c r="H39">
        <v>1773.2</v>
      </c>
      <c r="I39" s="18">
        <v>2240.8000000000002</v>
      </c>
      <c r="J39" s="17">
        <f>(TableMen5yr[[#This Row],[WHR Score]]-AVERAGE(TableMen5yr[WHR Score]))/STDEV(TableMen5yr[WHR Score])</f>
        <v>-0.63174277565905013</v>
      </c>
      <c r="K39" s="17">
        <f>(TableMen5yr[[#This Row],[WHR I+P Score]]-AVERAGE(TableMen5yr[WHR I+P Score]))/STDEV(TableMen5yr[WHR I+P Score])</f>
        <v>-0.62849439857790712</v>
      </c>
      <c r="L39" s="17">
        <f>(TableMen5yr[[#This Row],[Method I+P Score]]-AVERAGE(TableMen5yr[Method I+P Score]))/STDEV(TableMen5yr[Method I+P Score])</f>
        <v>-0.85991471285650434</v>
      </c>
      <c r="M39">
        <f>RANK(TableMen5yr[[#This Row],[WHR Score]],TableMen5yr[WHR Score],0)</f>
        <v>31</v>
      </c>
      <c r="N39">
        <f>RANK(TableMen5yr[[#This Row],[WHR I+P Score]],TableMen5yr[WHR I+P Score],0)</f>
        <v>30</v>
      </c>
      <c r="O39">
        <f>RANK(TableMen5yr[[#This Row],[Method I+P Score]],TableMen5yr[Method I+P Score],0)</f>
        <v>32</v>
      </c>
    </row>
    <row r="40" spans="4:15" x14ac:dyDescent="0.25">
      <c r="D40" t="s">
        <v>86</v>
      </c>
      <c r="E40" t="s">
        <v>37</v>
      </c>
      <c r="F40">
        <v>19</v>
      </c>
      <c r="G40" s="18">
        <v>1729.5</v>
      </c>
      <c r="H40" s="18">
        <v>1740.8</v>
      </c>
      <c r="I40">
        <v>2347.6999999999998</v>
      </c>
      <c r="J40" s="17">
        <f>(TableMen5yr[[#This Row],[WHR Score]]-AVERAGE(TableMen5yr[WHR Score]))/STDEV(TableMen5yr[WHR Score])</f>
        <v>-1.0717064944215993</v>
      </c>
      <c r="K40" s="17">
        <f>(TableMen5yr[[#This Row],[WHR I+P Score]]-AVERAGE(TableMen5yr[WHR I+P Score]))/STDEV(TableMen5yr[WHR I+P Score])</f>
        <v>-1.0709017976325874</v>
      </c>
      <c r="L40" s="17">
        <f>(TableMen5yr[[#This Row],[Method I+P Score]]-AVERAGE(TableMen5yr[Method I+P Score]))/STDEV(TableMen5yr[Method I+P Score])</f>
        <v>-2.1380206291027343E-2</v>
      </c>
      <c r="M40">
        <f>RANK(TableMen5yr[[#This Row],[WHR Score]],TableMen5yr[WHR Score],0)</f>
        <v>35</v>
      </c>
      <c r="N40">
        <f>RANK(TableMen5yr[[#This Row],[WHR I+P Score]],TableMen5yr[WHR I+P Score],0)</f>
        <v>35</v>
      </c>
      <c r="O40">
        <f>RANK(TableMen5yr[[#This Row],[Method I+P Score]],TableMen5yr[Method I+P Score],0)</f>
        <v>21</v>
      </c>
    </row>
    <row r="41" spans="4:15" x14ac:dyDescent="0.25">
      <c r="D41" t="s">
        <v>67</v>
      </c>
      <c r="E41" t="s">
        <v>37</v>
      </c>
      <c r="F41">
        <v>16</v>
      </c>
      <c r="G41" s="18">
        <v>1737.2</v>
      </c>
      <c r="H41" s="18">
        <v>1749.9</v>
      </c>
      <c r="I41">
        <v>2347.6</v>
      </c>
      <c r="J41" s="17">
        <f>(TableMen5yr[[#This Row],[WHR Score]]-AVERAGE(TableMen5yr[WHR Score]))/STDEV(TableMen5yr[WHR Score])</f>
        <v>-0.96649777906533707</v>
      </c>
      <c r="K41" s="17">
        <f>(TableMen5yr[[#This Row],[WHR I+P Score]]-AVERAGE(TableMen5yr[WHR I+P Score]))/STDEV(TableMen5yr[WHR I+P Score])</f>
        <v>-0.94664539851537621</v>
      </c>
      <c r="L41" s="17">
        <f>(TableMen5yr[[#This Row],[Method I+P Score]]-AVERAGE(TableMen5yr[Method I+P Score]))/STDEV(TableMen5yr[Method I+P Score])</f>
        <v>-2.216461649361361E-2</v>
      </c>
      <c r="M41">
        <f>RANK(TableMen5yr[[#This Row],[WHR Score]],TableMen5yr[WHR Score],0)</f>
        <v>33</v>
      </c>
      <c r="N41">
        <f>RANK(TableMen5yr[[#This Row],[WHR I+P Score]],TableMen5yr[WHR I+P Score],0)</f>
        <v>33</v>
      </c>
      <c r="O41">
        <f>RANK(TableMen5yr[[#This Row],[Method I+P Score]],TableMen5yr[Method I+P Score],0)</f>
        <v>22</v>
      </c>
    </row>
    <row r="42" spans="4:15" x14ac:dyDescent="0.25">
      <c r="D42" t="s">
        <v>55</v>
      </c>
      <c r="E42" t="s">
        <v>43</v>
      </c>
      <c r="F42">
        <v>23</v>
      </c>
      <c r="G42" s="18">
        <v>1745.4</v>
      </c>
      <c r="H42" s="18">
        <v>1754.2</v>
      </c>
      <c r="I42">
        <v>2331.9</v>
      </c>
      <c r="J42" s="17">
        <f>(TableMen5yr[[#This Row],[WHR Score]]-AVERAGE(TableMen5yr[WHR Score]))/STDEV(TableMen5yr[WHR Score])</f>
        <v>-0.85445732894568116</v>
      </c>
      <c r="K42" s="17">
        <f>(TableMen5yr[[#This Row],[WHR I+P Score]]-AVERAGE(TableMen5yr[WHR I+P Score]))/STDEV(TableMen5yr[WHR I+P Score])</f>
        <v>-0.88793083629515712</v>
      </c>
      <c r="L42" s="17">
        <f>(TableMen5yr[[#This Row],[Method I+P Score]]-AVERAGE(TableMen5yr[Method I+P Score]))/STDEV(TableMen5yr[Method I+P Score])</f>
        <v>-0.14531701829976779</v>
      </c>
      <c r="M42">
        <f>RANK(TableMen5yr[[#This Row],[WHR Score]],TableMen5yr[WHR Score],0)</f>
        <v>32</v>
      </c>
      <c r="N42">
        <f>RANK(TableMen5yr[[#This Row],[WHR I+P Score]],TableMen5yr[WHR I+P Score],0)</f>
        <v>32</v>
      </c>
      <c r="O42">
        <f>RANK(TableMen5yr[[#This Row],[Method I+P Score]],TableMen5yr[Method I+P Score],0)</f>
        <v>23</v>
      </c>
    </row>
    <row r="43" spans="4:15" x14ac:dyDescent="0.25">
      <c r="D43" t="s">
        <v>87</v>
      </c>
      <c r="E43" t="s">
        <v>35</v>
      </c>
      <c r="F43">
        <v>9</v>
      </c>
      <c r="G43" s="18">
        <v>1678.3</v>
      </c>
      <c r="H43" s="18">
        <v>1690</v>
      </c>
      <c r="I43">
        <v>2311.1</v>
      </c>
      <c r="J43" s="17">
        <f>(TableMen5yr[[#This Row],[WHR Score]]-AVERAGE(TableMen5yr[WHR Score]))/STDEV(TableMen5yr[WHR Score])</f>
        <v>-1.7712761341931058</v>
      </c>
      <c r="K43" s="17">
        <f>(TableMen5yr[[#This Row],[WHR I+P Score]]-AVERAGE(TableMen5yr[WHR I+P Score]))/STDEV(TableMen5yr[WHR I+P Score])</f>
        <v>-1.7645529047923922</v>
      </c>
      <c r="L43" s="17">
        <f>(TableMen5yr[[#This Row],[Method I+P Score]]-AVERAGE(TableMen5yr[Method I+P Score]))/STDEV(TableMen5yr[Method I+P Score])</f>
        <v>-0.30847434043786071</v>
      </c>
      <c r="M43">
        <f>RANK(TableMen5yr[[#This Row],[WHR Score]],TableMen5yr[WHR Score],0)</f>
        <v>38</v>
      </c>
      <c r="N43">
        <f>RANK(TableMen5yr[[#This Row],[WHR I+P Score]],TableMen5yr[WHR I+P Score],0)</f>
        <v>38</v>
      </c>
      <c r="O43">
        <f>RANK(TableMen5yr[[#This Row],[Method I+P Score]],TableMen5yr[Method I+P Score],0)</f>
        <v>25</v>
      </c>
    </row>
    <row r="44" spans="4:15" x14ac:dyDescent="0.25">
      <c r="D44" t="s">
        <v>62</v>
      </c>
      <c r="E44" t="s">
        <v>41</v>
      </c>
      <c r="F44">
        <v>15</v>
      </c>
      <c r="G44" s="18">
        <v>1666.1</v>
      </c>
      <c r="H44" s="18">
        <v>1681.8</v>
      </c>
      <c r="I44">
        <v>2299.6999999999998</v>
      </c>
      <c r="J44" s="17">
        <f>(TableMen5yr[[#This Row],[WHR Score]]-AVERAGE(TableMen5yr[WHR Score]))/STDEV(TableMen5yr[WHR Score])</f>
        <v>-1.9379704624199106</v>
      </c>
      <c r="K44" s="17">
        <f>(TableMen5yr[[#This Row],[WHR I+P Score]]-AVERAGE(TableMen5yr[WHR I+P Score]))/STDEV(TableMen5yr[WHR I+P Score])</f>
        <v>-1.8765202094914166</v>
      </c>
      <c r="L44" s="17">
        <f>(TableMen5yr[[#This Row],[Method I+P Score]]-AVERAGE(TableMen5yr[Method I+P Score]))/STDEV(TableMen5yr[Method I+P Score])</f>
        <v>-0.39789710353277696</v>
      </c>
      <c r="M44">
        <f>RANK(TableMen5yr[[#This Row],[WHR Score]],TableMen5yr[WHR Score],0)</f>
        <v>39</v>
      </c>
      <c r="N44">
        <f>RANK(TableMen5yr[[#This Row],[WHR I+P Score]],TableMen5yr[WHR I+P Score],0)</f>
        <v>39</v>
      </c>
      <c r="O44">
        <f>RANK(TableMen5yr[[#This Row],[Method I+P Score]],TableMen5yr[Method I+P Score],0)</f>
        <v>26</v>
      </c>
    </row>
    <row r="45" spans="4:15" x14ac:dyDescent="0.25">
      <c r="D45" t="s">
        <v>63</v>
      </c>
      <c r="E45" t="s">
        <v>33</v>
      </c>
      <c r="F45">
        <v>13</v>
      </c>
      <c r="G45" s="18">
        <v>1684.8</v>
      </c>
      <c r="H45" s="18">
        <v>1695.6</v>
      </c>
      <c r="I45">
        <v>2298.1</v>
      </c>
      <c r="J45" s="17">
        <f>(TableMen5yr[[#This Row],[WHR Score]]-AVERAGE(TableMen5yr[WHR Score]))/STDEV(TableMen5yr[WHR Score])</f>
        <v>-1.6824635822689888</v>
      </c>
      <c r="K45" s="17">
        <f>(TableMen5yr[[#This Row],[WHR I+P Score]]-AVERAGE(TableMen5yr[WHR I+P Score]))/STDEV(TableMen5yr[WHR I+P Score])</f>
        <v>-1.6880874284125724</v>
      </c>
      <c r="L45" s="17">
        <f>(TableMen5yr[[#This Row],[Method I+P Score]]-AVERAGE(TableMen5yr[Method I+P Score]))/STDEV(TableMen5yr[Method I+P Score])</f>
        <v>-0.41044766677416789</v>
      </c>
      <c r="M45">
        <f>RANK(TableMen5yr[[#This Row],[WHR Score]],TableMen5yr[WHR Score],0)</f>
        <v>37</v>
      </c>
      <c r="N45">
        <f>RANK(TableMen5yr[[#This Row],[WHR I+P Score]],TableMen5yr[WHR I+P Score],0)</f>
        <v>37</v>
      </c>
      <c r="O45">
        <f>RANK(TableMen5yr[[#This Row],[Method I+P Score]],TableMen5yr[Method I+P Score],0)</f>
        <v>27</v>
      </c>
    </row>
    <row r="46" spans="4:15" x14ac:dyDescent="0.25">
      <c r="D46" t="s">
        <v>60</v>
      </c>
      <c r="E46" t="s">
        <v>45</v>
      </c>
      <c r="F46">
        <v>21</v>
      </c>
      <c r="G46" s="18">
        <v>1735</v>
      </c>
      <c r="H46" s="18">
        <v>1744.9</v>
      </c>
      <c r="I46">
        <v>2284.8000000000002</v>
      </c>
      <c r="J46" s="17">
        <f>(TableMen5yr[[#This Row],[WHR Score]]-AVERAGE(TableMen5yr[WHR Score]))/STDEV(TableMen5yr[WHR Score])</f>
        <v>-0.99655741202426962</v>
      </c>
      <c r="K46" s="17">
        <f>(TableMen5yr[[#This Row],[WHR I+P Score]]-AVERAGE(TableMen5yr[WHR I+P Score]))/STDEV(TableMen5yr[WHR I+P Score])</f>
        <v>-1.0149181452830736</v>
      </c>
      <c r="L46" s="17">
        <f>(TableMen5yr[[#This Row],[Method I+P Score]]-AVERAGE(TableMen5yr[Method I+P Score]))/STDEV(TableMen5yr[Method I+P Score])</f>
        <v>-0.51477422371823389</v>
      </c>
      <c r="M46">
        <f>RANK(TableMen5yr[[#This Row],[WHR Score]],TableMen5yr[WHR Score],0)</f>
        <v>34</v>
      </c>
      <c r="N46">
        <f>RANK(TableMen5yr[[#This Row],[WHR I+P Score]],TableMen5yr[WHR I+P Score],0)</f>
        <v>34</v>
      </c>
      <c r="O46">
        <f>RANK(TableMen5yr[[#This Row],[Method I+P Score]],TableMen5yr[Method I+P Score],0)</f>
        <v>28</v>
      </c>
    </row>
    <row r="47" spans="4:15" x14ac:dyDescent="0.25">
      <c r="D47" t="s">
        <v>88</v>
      </c>
      <c r="E47" t="s">
        <v>41</v>
      </c>
      <c r="F47">
        <v>36</v>
      </c>
      <c r="G47" s="18">
        <v>1727.9</v>
      </c>
      <c r="H47" s="18">
        <v>1738.2</v>
      </c>
      <c r="I47">
        <v>2276</v>
      </c>
      <c r="J47" s="17">
        <f>(TableMen5yr[[#This Row],[WHR Score]]-AVERAGE(TableMen5yr[WHR Score]))/STDEV(TableMen5yr[WHR Score])</f>
        <v>-1.0935680456644576</v>
      </c>
      <c r="K47" s="17">
        <f>(TableMen5yr[[#This Row],[WHR I+P Score]]-AVERAGE(TableMen5yr[WHR I+P Score]))/STDEV(TableMen5yr[WHR I+P Score])</f>
        <v>-1.1064036259517889</v>
      </c>
      <c r="L47" s="17">
        <f>(TableMen5yr[[#This Row],[Method I+P Score]]-AVERAGE(TableMen5yr[Method I+P Score]))/STDEV(TableMen5yr[Method I+P Score])</f>
        <v>-0.5838023215458894</v>
      </c>
      <c r="M47">
        <f>RANK(TableMen5yr[[#This Row],[WHR Score]],TableMen5yr[WHR Score],0)</f>
        <v>36</v>
      </c>
      <c r="N47">
        <f>RANK(TableMen5yr[[#This Row],[WHR I+P Score]],TableMen5yr[WHR I+P Score],0)</f>
        <v>36</v>
      </c>
      <c r="O47">
        <f>RANK(TableMen5yr[[#This Row],[Method I+P Score]],TableMen5yr[Method I+P Score],0)</f>
        <v>30</v>
      </c>
    </row>
  </sheetData>
  <pageMargins left="0.75" right="0.75" top="1" bottom="1" header="0.5" footer="0.5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2:O235"/>
  <sheetViews>
    <sheetView workbookViewId="0">
      <selection activeCell="L15" sqref="L15"/>
    </sheetView>
  </sheetViews>
  <sheetFormatPr defaultRowHeight="15" x14ac:dyDescent="0.25"/>
  <cols>
    <col min="1" max="1" width="10" customWidth="1"/>
    <col min="2" max="2" width="21" customWidth="1"/>
    <col min="3" max="3" width="11" customWidth="1"/>
    <col min="4" max="4" width="23" customWidth="1"/>
    <col min="5" max="5" width="22" customWidth="1"/>
    <col min="6" max="6" width="9" customWidth="1"/>
    <col min="7" max="7" width="15" customWidth="1"/>
    <col min="8" max="8" width="11" customWidth="1"/>
    <col min="9" max="10" width="14" customWidth="1"/>
    <col min="12" max="12" width="22" customWidth="1"/>
    <col min="13" max="14" width="12" customWidth="1"/>
    <col min="15" max="15" width="10" customWidth="1"/>
  </cols>
  <sheetData>
    <row r="2" spans="4:15" ht="31.5" customHeight="1" x14ac:dyDescent="0.5">
      <c r="D2" s="16" t="s">
        <v>89</v>
      </c>
    </row>
    <row r="8" spans="4:15" x14ac:dyDescent="0.25">
      <c r="D8" t="s">
        <v>2</v>
      </c>
      <c r="E8" t="s">
        <v>3</v>
      </c>
      <c r="F8" t="s">
        <v>4</v>
      </c>
      <c r="G8" t="s">
        <v>5</v>
      </c>
      <c r="H8" t="s">
        <v>21</v>
      </c>
      <c r="I8" t="s">
        <v>79</v>
      </c>
      <c r="J8" t="s">
        <v>90</v>
      </c>
      <c r="L8" s="19" t="s">
        <v>3</v>
      </c>
      <c r="M8" s="19" t="s">
        <v>17</v>
      </c>
      <c r="N8" s="19" t="s">
        <v>18</v>
      </c>
      <c r="O8" s="19" t="s">
        <v>19</v>
      </c>
    </row>
    <row r="9" spans="4:15" x14ac:dyDescent="0.25">
      <c r="D9" t="s">
        <v>57</v>
      </c>
      <c r="E9" t="s">
        <v>45</v>
      </c>
      <c r="F9">
        <v>18</v>
      </c>
      <c r="G9">
        <v>1933.6</v>
      </c>
      <c r="H9" s="17">
        <f>(TableMenDiv[[#This Row],[WHR Score]]-AVERAGE(TableMenDiv[WHR Score]))/STDEV(TableMenDiv[WHR Score])</f>
        <v>2.7626772264814075</v>
      </c>
      <c r="I9">
        <f>RANK(TableMenDiv[[#This Row],[WHR Score]],TableMenDiv[WHR Score],0)</f>
        <v>4</v>
      </c>
      <c r="J9">
        <f>SUMPRODUCT((TableMenDiv[Division]=TableMenDiv[[#This Row],[Division]])*(TableMenDiv[WHR Score]&gt;TableMenDiv[[#This Row],[WHR Score]]))+1</f>
        <v>1</v>
      </c>
      <c r="L9" t="s">
        <v>45</v>
      </c>
      <c r="M9" s="20">
        <f>AVERAGEIF($E$9:$E$235,$L$9,$G$9:$G$235)</f>
        <v>1600.6380952380953</v>
      </c>
      <c r="N9" s="20">
        <f>_xlfn.MAXIFS($G$9:$G$235,$E$9:$E$235,$L$9)</f>
        <v>1933.6</v>
      </c>
      <c r="O9">
        <f>COUNTIF($E$9:$E$235,$L$9)</f>
        <v>21</v>
      </c>
    </row>
    <row r="10" spans="4:15" x14ac:dyDescent="0.25">
      <c r="D10" t="s">
        <v>61</v>
      </c>
      <c r="E10" t="s">
        <v>45</v>
      </c>
      <c r="F10">
        <v>16</v>
      </c>
      <c r="G10">
        <v>1789.5</v>
      </c>
      <c r="H10" s="17">
        <f>(TableMenDiv[[#This Row],[WHR Score]]-AVERAGE(TableMenDiv[WHR Score]))/STDEV(TableMenDiv[WHR Score])</f>
        <v>1.4449437744687661</v>
      </c>
      <c r="I10">
        <f>RANK(TableMenDiv[[#This Row],[WHR Score]],TableMenDiv[WHR Score],0)</f>
        <v>19</v>
      </c>
      <c r="J10">
        <f>SUMPRODUCT((TableMenDiv[Division]=TableMenDiv[[#This Row],[Division]])*(TableMenDiv[WHR Score]&gt;TableMenDiv[[#This Row],[WHR Score]]))+1</f>
        <v>2</v>
      </c>
      <c r="L10" t="s">
        <v>47</v>
      </c>
      <c r="M10" s="20">
        <f>AVERAGEIF($E$9:$E$235,$L$10,$G$9:$G$235)</f>
        <v>1604.4566666666665</v>
      </c>
      <c r="N10" s="20">
        <f>_xlfn.MAXIFS($G$9:$G$235,$E$9:$E$235,$L$10)</f>
        <v>1806</v>
      </c>
      <c r="O10">
        <f>COUNTIF($E$9:$E$235,$L$10)</f>
        <v>30</v>
      </c>
    </row>
    <row r="11" spans="4:15" x14ac:dyDescent="0.25">
      <c r="D11" t="s">
        <v>77</v>
      </c>
      <c r="E11" t="s">
        <v>45</v>
      </c>
      <c r="F11">
        <v>18</v>
      </c>
      <c r="G11">
        <v>1772.9</v>
      </c>
      <c r="H11" s="17">
        <f>(TableMenDiv[[#This Row],[WHR Score]]-AVERAGE(TableMenDiv[WHR Score]))/STDEV(TableMenDiv[WHR Score])</f>
        <v>1.2931438070613424</v>
      </c>
      <c r="I11">
        <f>RANK(TableMenDiv[[#This Row],[WHR Score]],TableMenDiv[WHR Score],0)</f>
        <v>26</v>
      </c>
      <c r="J11">
        <f>SUMPRODUCT((TableMenDiv[Division]=TableMenDiv[[#This Row],[Division]])*(TableMenDiv[WHR Score]&gt;TableMenDiv[[#This Row],[WHR Score]]))+1</f>
        <v>3</v>
      </c>
      <c r="L11" t="s">
        <v>39</v>
      </c>
      <c r="M11" s="20">
        <f>AVERAGEIF($E$9:$E$235,$L$11,$G$9:$G$235)</f>
        <v>1592.1269230769226</v>
      </c>
      <c r="N11" s="20">
        <f>_xlfn.MAXIFS($G$9:$G$235,$E$9:$E$235,$L$11)</f>
        <v>1912.4</v>
      </c>
      <c r="O11">
        <f>COUNTIF($E$9:$E$235,$L$11)</f>
        <v>26</v>
      </c>
    </row>
    <row r="12" spans="4:15" x14ac:dyDescent="0.25">
      <c r="D12" t="s">
        <v>60</v>
      </c>
      <c r="E12" t="s">
        <v>45</v>
      </c>
      <c r="F12">
        <v>21</v>
      </c>
      <c r="G12">
        <v>1737.6</v>
      </c>
      <c r="H12" s="17">
        <f>(TableMenDiv[[#This Row],[WHR Score]]-AVERAGE(TableMenDiv[WHR Score]))/STDEV(TableMenDiv[WHR Score])</f>
        <v>0.97034026191181777</v>
      </c>
      <c r="I12">
        <f>RANK(TableMenDiv[[#This Row],[WHR Score]],TableMenDiv[WHR Score],0)</f>
        <v>37</v>
      </c>
      <c r="J12">
        <f>SUMPRODUCT((TableMenDiv[Division]=TableMenDiv[[#This Row],[Division]])*(TableMenDiv[WHR Score]&gt;TableMenDiv[[#This Row],[WHR Score]]))+1</f>
        <v>4</v>
      </c>
      <c r="L12" t="s">
        <v>41</v>
      </c>
      <c r="M12" s="20">
        <f>AVERAGEIF($E$9:$E$235,$L$12,$G$9:$G$235)</f>
        <v>1665.4633333333331</v>
      </c>
      <c r="N12" s="20">
        <f>_xlfn.MAXIFS($G$9:$G$235,$E$9:$E$235,$L$12)</f>
        <v>1910.3</v>
      </c>
      <c r="O12">
        <f>COUNTIF($E$9:$E$235,$L$12)</f>
        <v>30</v>
      </c>
    </row>
    <row r="13" spans="4:15" x14ac:dyDescent="0.25">
      <c r="D13" t="s">
        <v>91</v>
      </c>
      <c r="E13" t="s">
        <v>45</v>
      </c>
      <c r="F13">
        <v>11</v>
      </c>
      <c r="G13">
        <v>1719.4</v>
      </c>
      <c r="H13" s="17">
        <f>(TableMenDiv[[#This Row],[WHR Score]]-AVERAGE(TableMenDiv[WHR Score]))/STDEV(TableMenDiv[WHR Score])</f>
        <v>0.8039089723446432</v>
      </c>
      <c r="I13">
        <f>RANK(TableMenDiv[[#This Row],[WHR Score]],TableMenDiv[WHR Score],0)</f>
        <v>45</v>
      </c>
      <c r="J13">
        <f>SUMPRODUCT((TableMenDiv[Division]=TableMenDiv[[#This Row],[Division]])*(TableMenDiv[WHR Score]&gt;TableMenDiv[[#This Row],[WHR Score]]))+1</f>
        <v>5</v>
      </c>
      <c r="L13" t="s">
        <v>37</v>
      </c>
      <c r="M13" s="20">
        <f>AVERAGEIF($E$9:$E$235,$L$13,$G$9:$G$235)</f>
        <v>1659.2900000000002</v>
      </c>
      <c r="N13" s="20">
        <f>_xlfn.MAXIFS($G$9:$G$235,$E$9:$E$235,$L$13)</f>
        <v>1990.2</v>
      </c>
      <c r="O13">
        <f>COUNTIF($E$9:$E$235,$L$13)</f>
        <v>30</v>
      </c>
    </row>
    <row r="14" spans="4:15" x14ac:dyDescent="0.25">
      <c r="D14" t="s">
        <v>92</v>
      </c>
      <c r="E14" t="s">
        <v>45</v>
      </c>
      <c r="F14">
        <v>20</v>
      </c>
      <c r="G14">
        <v>1711.6</v>
      </c>
      <c r="H14" s="17">
        <f>(TableMenDiv[[#This Row],[WHR Score]]-AVERAGE(TableMenDiv[WHR Score]))/STDEV(TableMenDiv[WHR Score])</f>
        <v>0.73258127681585172</v>
      </c>
      <c r="I14">
        <f>RANK(TableMenDiv[[#This Row],[WHR Score]],TableMenDiv[WHR Score],0)</f>
        <v>48</v>
      </c>
      <c r="J14">
        <f>SUMPRODUCT((TableMenDiv[Division]=TableMenDiv[[#This Row],[Division]])*(TableMenDiv[WHR Score]&gt;TableMenDiv[[#This Row],[WHR Score]]))+1</f>
        <v>6</v>
      </c>
      <c r="L14" t="s">
        <v>33</v>
      </c>
      <c r="M14" s="20">
        <f>AVERAGEIF($E$9:$E$235,$L$14,$G$9:$G$235)</f>
        <v>1648.0133333333333</v>
      </c>
      <c r="N14" s="20">
        <f>_xlfn.MAXIFS($G$9:$G$235,$E$9:$E$235,$L$14)</f>
        <v>1943.1</v>
      </c>
      <c r="O14">
        <f>COUNTIF($E$9:$E$235,$L$14)</f>
        <v>30</v>
      </c>
    </row>
    <row r="15" spans="4:15" x14ac:dyDescent="0.25">
      <c r="D15" t="s">
        <v>93</v>
      </c>
      <c r="E15" t="s">
        <v>45</v>
      </c>
      <c r="F15">
        <v>21</v>
      </c>
      <c r="G15">
        <v>1696</v>
      </c>
      <c r="H15" s="17">
        <f>(TableMenDiv[[#This Row],[WHR Score]]-AVERAGE(TableMenDiv[WHR Score]))/STDEV(TableMenDiv[WHR Score])</f>
        <v>0.58992588575827298</v>
      </c>
      <c r="I15">
        <f>RANK(TableMenDiv[[#This Row],[WHR Score]],TableMenDiv[WHR Score],0)</f>
        <v>55</v>
      </c>
      <c r="J15">
        <f>SUMPRODUCT((TableMenDiv[Division]=TableMenDiv[[#This Row],[Division]])*(TableMenDiv[WHR Score]&gt;TableMenDiv[[#This Row],[WHR Score]]))+1</f>
        <v>7</v>
      </c>
      <c r="L15" t="s">
        <v>35</v>
      </c>
      <c r="M15" s="20">
        <f>AVERAGEIF($E$9:$E$235,$L$15,$G$9:$G$235)</f>
        <v>1639.4600000000003</v>
      </c>
      <c r="N15" s="20">
        <f>_xlfn.MAXIFS($G$9:$G$235,$E$9:$E$235,$L$15)</f>
        <v>1999.2</v>
      </c>
      <c r="O15">
        <f>COUNTIF($E$9:$E$235,$L$15)</f>
        <v>30</v>
      </c>
    </row>
    <row r="16" spans="4:15" x14ac:dyDescent="0.25">
      <c r="D16" t="s">
        <v>94</v>
      </c>
      <c r="E16" t="s">
        <v>45</v>
      </c>
      <c r="F16">
        <v>16</v>
      </c>
      <c r="G16">
        <v>1602</v>
      </c>
      <c r="H16" s="17">
        <f>(TableMenDiv[[#This Row],[WHR Score]]-AVERAGE(TableMenDiv[WHR Score]))/STDEV(TableMenDiv[WHR Score])</f>
        <v>-0.26966429112714235</v>
      </c>
      <c r="I16">
        <f>RANK(TableMenDiv[[#This Row],[WHR Score]],TableMenDiv[WHR Score],0)</f>
        <v>122</v>
      </c>
      <c r="J16">
        <f>SUMPRODUCT((TableMenDiv[Division]=TableMenDiv[[#This Row],[Division]])*(TableMenDiv[WHR Score]&gt;TableMenDiv[[#This Row],[WHR Score]]))+1</f>
        <v>8</v>
      </c>
      <c r="L16" t="s">
        <v>43</v>
      </c>
      <c r="M16" s="20">
        <f>AVERAGEIF($E$9:$E$235,$L$16,$G$9:$G$235)</f>
        <v>1627.9599999999998</v>
      </c>
      <c r="N16" s="20">
        <f>_xlfn.MAXIFS($G$9:$G$235,$E$9:$E$235,$L$16)</f>
        <v>1856.2</v>
      </c>
      <c r="O16">
        <f>COUNTIF($E$9:$E$235,$L$16)</f>
        <v>30</v>
      </c>
    </row>
    <row r="17" spans="4:10" x14ac:dyDescent="0.25">
      <c r="D17" t="s">
        <v>95</v>
      </c>
      <c r="E17" t="s">
        <v>45</v>
      </c>
      <c r="F17">
        <v>13</v>
      </c>
      <c r="G17">
        <v>1569</v>
      </c>
      <c r="H17" s="17">
        <f>(TableMenDiv[[#This Row],[WHR Score]]-AVERAGE(TableMenDiv[WHR Score]))/STDEV(TableMenDiv[WHR Score])</f>
        <v>-0.57143531067202225</v>
      </c>
      <c r="I17">
        <f>RANK(TableMenDiv[[#This Row],[WHR Score]],TableMenDiv[WHR Score],0)</f>
        <v>159</v>
      </c>
      <c r="J17">
        <f>SUMPRODUCT((TableMenDiv[Division]=TableMenDiv[[#This Row],[Division]])*(TableMenDiv[WHR Score]&gt;TableMenDiv[[#This Row],[WHR Score]]))+1</f>
        <v>9</v>
      </c>
    </row>
    <row r="18" spans="4:10" x14ac:dyDescent="0.25">
      <c r="D18" t="s">
        <v>96</v>
      </c>
      <c r="E18" t="s">
        <v>45</v>
      </c>
      <c r="F18">
        <v>14</v>
      </c>
      <c r="G18">
        <v>1564.5</v>
      </c>
      <c r="H18" s="17">
        <f>(TableMenDiv[[#This Row],[WHR Score]]-AVERAGE(TableMenDiv[WHR Score]))/STDEV(TableMenDiv[WHR Score])</f>
        <v>-0.61258590424632409</v>
      </c>
      <c r="I18">
        <f>RANK(TableMenDiv[[#This Row],[WHR Score]],TableMenDiv[WHR Score],0)</f>
        <v>165</v>
      </c>
      <c r="J18">
        <f>SUMPRODUCT((TableMenDiv[Division]=TableMenDiv[[#This Row],[Division]])*(TableMenDiv[WHR Score]&gt;TableMenDiv[[#This Row],[WHR Score]]))+1</f>
        <v>10</v>
      </c>
    </row>
    <row r="19" spans="4:10" x14ac:dyDescent="0.25">
      <c r="D19" t="s">
        <v>97</v>
      </c>
      <c r="E19" t="s">
        <v>45</v>
      </c>
      <c r="F19">
        <v>14</v>
      </c>
      <c r="G19">
        <v>1562.2</v>
      </c>
      <c r="H19" s="17">
        <f>(TableMenDiv[[#This Row],[WHR Score]]-AVERAGE(TableMenDiv[WHR Score]))/STDEV(TableMenDiv[WHR Score])</f>
        <v>-0.63361842985096672</v>
      </c>
      <c r="I19">
        <f>RANK(TableMenDiv[[#This Row],[WHR Score]],TableMenDiv[WHR Score],0)</f>
        <v>168</v>
      </c>
      <c r="J19">
        <f>SUMPRODUCT((TableMenDiv[Division]=TableMenDiv[[#This Row],[Division]])*(TableMenDiv[WHR Score]&gt;TableMenDiv[[#This Row],[WHR Score]]))+1</f>
        <v>11</v>
      </c>
    </row>
    <row r="20" spans="4:10" x14ac:dyDescent="0.25">
      <c r="D20" t="s">
        <v>98</v>
      </c>
      <c r="E20" t="s">
        <v>45</v>
      </c>
      <c r="F20">
        <v>14</v>
      </c>
      <c r="G20">
        <v>1556.3</v>
      </c>
      <c r="H20" s="17">
        <f>(TableMenDiv[[#This Row],[WHR Score]]-AVERAGE(TableMenDiv[WHR Score]))/STDEV(TableMenDiv[WHR Score])</f>
        <v>-0.68757143031505219</v>
      </c>
      <c r="I20">
        <f>RANK(TableMenDiv[[#This Row],[WHR Score]],TableMenDiv[WHR Score],0)</f>
        <v>173</v>
      </c>
      <c r="J20">
        <f>SUMPRODUCT((TableMenDiv[Division]=TableMenDiv[[#This Row],[Division]])*(TableMenDiv[WHR Score]&gt;TableMenDiv[[#This Row],[WHR Score]]))+1</f>
        <v>12</v>
      </c>
    </row>
    <row r="21" spans="4:10" x14ac:dyDescent="0.25">
      <c r="D21" t="s">
        <v>99</v>
      </c>
      <c r="E21" t="s">
        <v>45</v>
      </c>
      <c r="F21">
        <v>14</v>
      </c>
      <c r="G21">
        <v>1554.1</v>
      </c>
      <c r="H21" s="17">
        <f>(TableMenDiv[[#This Row],[WHR Score]]-AVERAGE(TableMenDiv[WHR Score]))/STDEV(TableMenDiv[WHR Score])</f>
        <v>-0.70768949828471128</v>
      </c>
      <c r="I21">
        <f>RANK(TableMenDiv[[#This Row],[WHR Score]],TableMenDiv[WHR Score],0)</f>
        <v>176</v>
      </c>
      <c r="J21">
        <f>SUMPRODUCT((TableMenDiv[Division]=TableMenDiv[[#This Row],[Division]])*(TableMenDiv[WHR Score]&gt;TableMenDiv[[#This Row],[WHR Score]]))+1</f>
        <v>13</v>
      </c>
    </row>
    <row r="22" spans="4:10" x14ac:dyDescent="0.25">
      <c r="D22" t="s">
        <v>100</v>
      </c>
      <c r="E22" t="s">
        <v>45</v>
      </c>
      <c r="F22">
        <v>13</v>
      </c>
      <c r="G22">
        <v>1528.4</v>
      </c>
      <c r="H22" s="17">
        <f>(TableMenDiv[[#This Row],[WHR Score]]-AVERAGE(TableMenDiv[WHR Score]))/STDEV(TableMenDiv[WHR Score])</f>
        <v>-0.94270511047572214</v>
      </c>
      <c r="I22">
        <f>RANK(TableMenDiv[[#This Row],[WHR Score]],TableMenDiv[WHR Score],0)</f>
        <v>198</v>
      </c>
      <c r="J22">
        <f>SUMPRODUCT((TableMenDiv[Division]=TableMenDiv[[#This Row],[Division]])*(TableMenDiv[WHR Score]&gt;TableMenDiv[[#This Row],[WHR Score]]))+1</f>
        <v>14</v>
      </c>
    </row>
    <row r="23" spans="4:10" x14ac:dyDescent="0.25">
      <c r="D23" t="s">
        <v>101</v>
      </c>
      <c r="E23" t="s">
        <v>45</v>
      </c>
      <c r="F23">
        <v>13</v>
      </c>
      <c r="G23">
        <v>1513</v>
      </c>
      <c r="H23" s="17">
        <f>(TableMenDiv[[#This Row],[WHR Score]]-AVERAGE(TableMenDiv[WHR Score]))/STDEV(TableMenDiv[WHR Score])</f>
        <v>-1.0835315862633335</v>
      </c>
      <c r="I23">
        <f>RANK(TableMenDiv[[#This Row],[WHR Score]],TableMenDiv[WHR Score],0)</f>
        <v>206</v>
      </c>
      <c r="J23">
        <f>SUMPRODUCT((TableMenDiv[Division]=TableMenDiv[[#This Row],[Division]])*(TableMenDiv[WHR Score]&gt;TableMenDiv[[#This Row],[WHR Score]]))+1</f>
        <v>15</v>
      </c>
    </row>
    <row r="24" spans="4:10" x14ac:dyDescent="0.25">
      <c r="D24" t="s">
        <v>102</v>
      </c>
      <c r="E24" t="s">
        <v>45</v>
      </c>
      <c r="F24">
        <v>14</v>
      </c>
      <c r="G24">
        <v>1502.3</v>
      </c>
      <c r="H24" s="17">
        <f>(TableMenDiv[[#This Row],[WHR Score]]-AVERAGE(TableMenDiv[WHR Score]))/STDEV(TableMenDiv[WHR Score])</f>
        <v>-1.1813785532066738</v>
      </c>
      <c r="I24">
        <f>RANK(TableMenDiv[[#This Row],[WHR Score]],TableMenDiv[WHR Score],0)</f>
        <v>212</v>
      </c>
      <c r="J24">
        <f>SUMPRODUCT((TableMenDiv[Division]=TableMenDiv[[#This Row],[Division]])*(TableMenDiv[WHR Score]&gt;TableMenDiv[[#This Row],[WHR Score]]))+1</f>
        <v>16</v>
      </c>
    </row>
    <row r="25" spans="4:10" x14ac:dyDescent="0.25">
      <c r="D25" t="s">
        <v>103</v>
      </c>
      <c r="E25" t="s">
        <v>45</v>
      </c>
      <c r="F25">
        <v>22</v>
      </c>
      <c r="G25">
        <v>1491.5</v>
      </c>
      <c r="H25" s="17">
        <f>(TableMenDiv[[#This Row],[WHR Score]]-AVERAGE(TableMenDiv[WHR Score]))/STDEV(TableMenDiv[WHR Score])</f>
        <v>-1.2801399777849978</v>
      </c>
      <c r="I25">
        <f>RANK(TableMenDiv[[#This Row],[WHR Score]],TableMenDiv[WHR Score],0)</f>
        <v>216</v>
      </c>
      <c r="J25">
        <f>SUMPRODUCT((TableMenDiv[Division]=TableMenDiv[[#This Row],[Division]])*(TableMenDiv[WHR Score]&gt;TableMenDiv[[#This Row],[WHR Score]]))+1</f>
        <v>17</v>
      </c>
    </row>
    <row r="26" spans="4:10" x14ac:dyDescent="0.25">
      <c r="D26" t="s">
        <v>104</v>
      </c>
      <c r="E26" t="s">
        <v>45</v>
      </c>
      <c r="F26">
        <v>17</v>
      </c>
      <c r="G26">
        <v>1488.5</v>
      </c>
      <c r="H26" s="17">
        <f>(TableMenDiv[[#This Row],[WHR Score]]-AVERAGE(TableMenDiv[WHR Score]))/STDEV(TableMenDiv[WHR Score])</f>
        <v>-1.3075737068345321</v>
      </c>
      <c r="I26">
        <f>RANK(TableMenDiv[[#This Row],[WHR Score]],TableMenDiv[WHR Score],0)</f>
        <v>217</v>
      </c>
      <c r="J26">
        <f>SUMPRODUCT((TableMenDiv[Division]=TableMenDiv[[#This Row],[Division]])*(TableMenDiv[WHR Score]&gt;TableMenDiv[[#This Row],[WHR Score]]))+1</f>
        <v>18</v>
      </c>
    </row>
    <row r="27" spans="4:10" x14ac:dyDescent="0.25">
      <c r="D27" t="s">
        <v>105</v>
      </c>
      <c r="E27" t="s">
        <v>45</v>
      </c>
      <c r="F27">
        <v>15</v>
      </c>
      <c r="G27">
        <v>1469.8</v>
      </c>
      <c r="H27" s="17">
        <f>(TableMenDiv[[#This Row],[WHR Score]]-AVERAGE(TableMenDiv[WHR Score]))/STDEV(TableMenDiv[WHR Score])</f>
        <v>-1.4785772845766312</v>
      </c>
      <c r="I27">
        <f>RANK(TableMenDiv[[#This Row],[WHR Score]],TableMenDiv[WHR Score],0)</f>
        <v>222</v>
      </c>
      <c r="J27">
        <f>SUMPRODUCT((TableMenDiv[Division]=TableMenDiv[[#This Row],[Division]])*(TableMenDiv[WHR Score]&gt;TableMenDiv[[#This Row],[WHR Score]]))+1</f>
        <v>19</v>
      </c>
    </row>
    <row r="28" spans="4:10" x14ac:dyDescent="0.25">
      <c r="D28" t="s">
        <v>106</v>
      </c>
      <c r="E28" t="s">
        <v>45</v>
      </c>
      <c r="F28">
        <v>16</v>
      </c>
      <c r="G28">
        <v>1453.9</v>
      </c>
      <c r="H28" s="17">
        <f>(TableMenDiv[[#This Row],[WHR Score]]-AVERAGE(TableMenDiv[WHR Score]))/STDEV(TableMenDiv[WHR Score])</f>
        <v>-1.623976048539163</v>
      </c>
      <c r="I28">
        <f>RANK(TableMenDiv[[#This Row],[WHR Score]],TableMenDiv[WHR Score],0)</f>
        <v>223</v>
      </c>
      <c r="J28">
        <f>SUMPRODUCT((TableMenDiv[Division]=TableMenDiv[[#This Row],[Division]])*(TableMenDiv[WHR Score]&gt;TableMenDiv[[#This Row],[WHR Score]]))+1</f>
        <v>20</v>
      </c>
    </row>
    <row r="29" spans="4:10" x14ac:dyDescent="0.25">
      <c r="D29" t="s">
        <v>107</v>
      </c>
      <c r="E29" t="s">
        <v>45</v>
      </c>
      <c r="F29">
        <v>13</v>
      </c>
      <c r="G29">
        <v>1397.3</v>
      </c>
      <c r="H29" s="17">
        <f>(TableMenDiv[[#This Row],[WHR Score]]-AVERAGE(TableMenDiv[WHR Score]))/STDEV(TableMenDiv[WHR Score])</f>
        <v>-2.1415590699403824</v>
      </c>
      <c r="I29">
        <f>RANK(TableMenDiv[[#This Row],[WHR Score]],TableMenDiv[WHR Score],0)</f>
        <v>227</v>
      </c>
      <c r="J29">
        <f>SUMPRODUCT((TableMenDiv[Division]=TableMenDiv[[#This Row],[Division]])*(TableMenDiv[WHR Score]&gt;TableMenDiv[[#This Row],[WHR Score]]))+1</f>
        <v>21</v>
      </c>
    </row>
    <row r="30" spans="4:10" x14ac:dyDescent="0.25">
      <c r="D30" t="s">
        <v>70</v>
      </c>
      <c r="E30" t="s">
        <v>47</v>
      </c>
      <c r="F30">
        <v>18</v>
      </c>
      <c r="G30">
        <v>1806</v>
      </c>
      <c r="H30" s="17">
        <f>(TableMenDiv[[#This Row],[WHR Score]]-AVERAGE(TableMenDiv[WHR Score]))/STDEV(TableMenDiv[WHR Score])</f>
        <v>1.5958292842412058</v>
      </c>
      <c r="I30">
        <f>RANK(TableMenDiv[[#This Row],[WHR Score]],TableMenDiv[WHR Score],0)</f>
        <v>18</v>
      </c>
      <c r="J30">
        <f>SUMPRODUCT((TableMenDiv[Division]=TableMenDiv[[#This Row],[Division]])*(TableMenDiv[WHR Score]&gt;TableMenDiv[[#This Row],[WHR Score]]))+1</f>
        <v>1</v>
      </c>
    </row>
    <row r="31" spans="4:10" x14ac:dyDescent="0.25">
      <c r="D31" t="s">
        <v>59</v>
      </c>
      <c r="E31" t="s">
        <v>47</v>
      </c>
      <c r="F31">
        <v>23</v>
      </c>
      <c r="G31">
        <v>1789.4</v>
      </c>
      <c r="H31" s="17">
        <f>(TableMenDiv[[#This Row],[WHR Score]]-AVERAGE(TableMenDiv[WHR Score]))/STDEV(TableMenDiv[WHR Score])</f>
        <v>1.4440293168337823</v>
      </c>
      <c r="I31">
        <f>RANK(TableMenDiv[[#This Row],[WHR Score]],TableMenDiv[WHR Score],0)</f>
        <v>20</v>
      </c>
      <c r="J31">
        <f>SUMPRODUCT((TableMenDiv[Division]=TableMenDiv[[#This Row],[Division]])*(TableMenDiv[WHR Score]&gt;TableMenDiv[[#This Row],[WHR Score]]))+1</f>
        <v>2</v>
      </c>
    </row>
    <row r="32" spans="4:10" x14ac:dyDescent="0.25">
      <c r="D32" t="s">
        <v>74</v>
      </c>
      <c r="E32" t="s">
        <v>47</v>
      </c>
      <c r="F32">
        <v>17</v>
      </c>
      <c r="G32">
        <v>1783.8</v>
      </c>
      <c r="H32" s="17">
        <f>(TableMenDiv[[#This Row],[WHR Score]]-AVERAGE(TableMenDiv[WHR Score]))/STDEV(TableMenDiv[WHR Score])</f>
        <v>1.3928196892746501</v>
      </c>
      <c r="I32">
        <f>RANK(TableMenDiv[[#This Row],[WHR Score]],TableMenDiv[WHR Score],0)</f>
        <v>24</v>
      </c>
      <c r="J32">
        <f>SUMPRODUCT((TableMenDiv[Division]=TableMenDiv[[#This Row],[Division]])*(TableMenDiv[WHR Score]&gt;TableMenDiv[[#This Row],[WHR Score]]))+1</f>
        <v>3</v>
      </c>
    </row>
    <row r="33" spans="4:10" x14ac:dyDescent="0.25">
      <c r="D33" t="s">
        <v>69</v>
      </c>
      <c r="E33" t="s">
        <v>47</v>
      </c>
      <c r="F33">
        <v>16</v>
      </c>
      <c r="G33">
        <v>1743</v>
      </c>
      <c r="H33" s="17">
        <f>(TableMenDiv[[#This Row],[WHR Score]]-AVERAGE(TableMenDiv[WHR Score]))/STDEV(TableMenDiv[WHR Score])</f>
        <v>1.0197209742009807</v>
      </c>
      <c r="I33">
        <f>RANK(TableMenDiv[[#This Row],[WHR Score]],TableMenDiv[WHR Score],0)</f>
        <v>35</v>
      </c>
      <c r="J33">
        <f>SUMPRODUCT((TableMenDiv[Division]=TableMenDiv[[#This Row],[Division]])*(TableMenDiv[WHR Score]&gt;TableMenDiv[[#This Row],[WHR Score]]))+1</f>
        <v>4</v>
      </c>
    </row>
    <row r="34" spans="4:10" x14ac:dyDescent="0.25">
      <c r="D34" t="s">
        <v>108</v>
      </c>
      <c r="E34" t="s">
        <v>47</v>
      </c>
      <c r="F34">
        <v>17</v>
      </c>
      <c r="G34">
        <v>1725.9</v>
      </c>
      <c r="H34" s="17">
        <f>(TableMenDiv[[#This Row],[WHR Score]]-AVERAGE(TableMenDiv[WHR Score]))/STDEV(TableMenDiv[WHR Score])</f>
        <v>0.86334871861863471</v>
      </c>
      <c r="I34">
        <f>RANK(TableMenDiv[[#This Row],[WHR Score]],TableMenDiv[WHR Score],0)</f>
        <v>40</v>
      </c>
      <c r="J34">
        <f>SUMPRODUCT((TableMenDiv[Division]=TableMenDiv[[#This Row],[Division]])*(TableMenDiv[WHR Score]&gt;TableMenDiv[[#This Row],[WHR Score]]))+1</f>
        <v>5</v>
      </c>
    </row>
    <row r="35" spans="4:10" x14ac:dyDescent="0.25">
      <c r="D35" t="s">
        <v>109</v>
      </c>
      <c r="E35" t="s">
        <v>47</v>
      </c>
      <c r="F35">
        <v>14</v>
      </c>
      <c r="G35">
        <v>1703.5</v>
      </c>
      <c r="H35" s="17">
        <f>(TableMenDiv[[#This Row],[WHR Score]]-AVERAGE(TableMenDiv[WHR Score]))/STDEV(TableMenDiv[WHR Score])</f>
        <v>0.65851020838210939</v>
      </c>
      <c r="I35">
        <f>RANK(TableMenDiv[[#This Row],[WHR Score]],TableMenDiv[WHR Score],0)</f>
        <v>52</v>
      </c>
      <c r="J35">
        <f>SUMPRODUCT((TableMenDiv[Division]=TableMenDiv[[#This Row],[Division]])*(TableMenDiv[WHR Score]&gt;TableMenDiv[[#This Row],[WHR Score]]))+1</f>
        <v>6</v>
      </c>
    </row>
    <row r="36" spans="4:10" x14ac:dyDescent="0.25">
      <c r="D36" t="s">
        <v>110</v>
      </c>
      <c r="E36" t="s">
        <v>47</v>
      </c>
      <c r="F36">
        <v>16</v>
      </c>
      <c r="G36">
        <v>1661.5</v>
      </c>
      <c r="H36" s="17">
        <f>(TableMenDiv[[#This Row],[WHR Score]]-AVERAGE(TableMenDiv[WHR Score]))/STDEV(TableMenDiv[WHR Score])</f>
        <v>0.27443800168862587</v>
      </c>
      <c r="I36">
        <f>RANK(TableMenDiv[[#This Row],[WHR Score]],TableMenDiv[WHR Score],0)</f>
        <v>73</v>
      </c>
      <c r="J36">
        <f>SUMPRODUCT((TableMenDiv[Division]=TableMenDiv[[#This Row],[Division]])*(TableMenDiv[WHR Score]&gt;TableMenDiv[[#This Row],[WHR Score]]))+1</f>
        <v>7</v>
      </c>
    </row>
    <row r="37" spans="4:10" x14ac:dyDescent="0.25">
      <c r="D37" t="s">
        <v>111</v>
      </c>
      <c r="E37" t="s">
        <v>47</v>
      </c>
      <c r="F37">
        <v>18</v>
      </c>
      <c r="G37">
        <v>1637.3</v>
      </c>
      <c r="H37" s="17">
        <f>(TableMenDiv[[#This Row],[WHR Score]]-AVERAGE(TableMenDiv[WHR Score]))/STDEV(TableMenDiv[WHR Score])</f>
        <v>5.3139254022380233E-2</v>
      </c>
      <c r="I37">
        <f>RANK(TableMenDiv[[#This Row],[WHR Score]],TableMenDiv[WHR Score],0)</f>
        <v>86</v>
      </c>
      <c r="J37">
        <f>SUMPRODUCT((TableMenDiv[Division]=TableMenDiv[[#This Row],[Division]])*(TableMenDiv[WHR Score]&gt;TableMenDiv[[#This Row],[WHR Score]]))+1</f>
        <v>8</v>
      </c>
    </row>
    <row r="38" spans="4:10" x14ac:dyDescent="0.25">
      <c r="D38" t="s">
        <v>112</v>
      </c>
      <c r="E38" t="s">
        <v>47</v>
      </c>
      <c r="F38">
        <v>19</v>
      </c>
      <c r="G38">
        <v>1630.1</v>
      </c>
      <c r="H38" s="17">
        <f>(TableMenDiv[[#This Row],[WHR Score]]-AVERAGE(TableMenDiv[WHR Score]))/STDEV(TableMenDiv[WHR Score])</f>
        <v>-1.2701695696503064E-2</v>
      </c>
      <c r="I38">
        <f>RANK(TableMenDiv[[#This Row],[WHR Score]],TableMenDiv[WHR Score],0)</f>
        <v>92</v>
      </c>
      <c r="J38">
        <f>SUMPRODUCT((TableMenDiv[Division]=TableMenDiv[[#This Row],[Division]])*(TableMenDiv[WHR Score]&gt;TableMenDiv[[#This Row],[WHR Score]]))+1</f>
        <v>9</v>
      </c>
    </row>
    <row r="39" spans="4:10" x14ac:dyDescent="0.25">
      <c r="D39" t="s">
        <v>113</v>
      </c>
      <c r="E39" t="s">
        <v>47</v>
      </c>
      <c r="F39">
        <v>17</v>
      </c>
      <c r="G39">
        <v>1623.6</v>
      </c>
      <c r="H39" s="17">
        <f>(TableMenDiv[[#This Row],[WHR Score]]-AVERAGE(TableMenDiv[WHR Score]))/STDEV(TableMenDiv[WHR Score])</f>
        <v>-7.214144197049456E-2</v>
      </c>
      <c r="I39">
        <f>RANK(TableMenDiv[[#This Row],[WHR Score]],TableMenDiv[WHR Score],0)</f>
        <v>97</v>
      </c>
      <c r="J39">
        <f>SUMPRODUCT((TableMenDiv[Division]=TableMenDiv[[#This Row],[Division]])*(TableMenDiv[WHR Score]&gt;TableMenDiv[[#This Row],[WHR Score]]))+1</f>
        <v>10</v>
      </c>
    </row>
    <row r="40" spans="4:10" x14ac:dyDescent="0.25">
      <c r="D40" t="s">
        <v>114</v>
      </c>
      <c r="E40" t="s">
        <v>47</v>
      </c>
      <c r="F40">
        <v>14</v>
      </c>
      <c r="G40">
        <v>1617.2</v>
      </c>
      <c r="H40" s="17">
        <f>(TableMenDiv[[#This Row],[WHR Score]]-AVERAGE(TableMenDiv[WHR Score]))/STDEV(TableMenDiv[WHR Score])</f>
        <v>-0.13066673060950032</v>
      </c>
      <c r="I40">
        <f>RANK(TableMenDiv[[#This Row],[WHR Score]],TableMenDiv[WHR Score],0)</f>
        <v>105</v>
      </c>
      <c r="J40">
        <f>SUMPRODUCT((TableMenDiv[Division]=TableMenDiv[[#This Row],[Division]])*(TableMenDiv[WHR Score]&gt;TableMenDiv[[#This Row],[WHR Score]]))+1</f>
        <v>11</v>
      </c>
    </row>
    <row r="41" spans="4:10" x14ac:dyDescent="0.25">
      <c r="D41" t="s">
        <v>115</v>
      </c>
      <c r="E41" t="s">
        <v>47</v>
      </c>
      <c r="F41">
        <v>16</v>
      </c>
      <c r="G41">
        <v>1610</v>
      </c>
      <c r="H41" s="17">
        <f>(TableMenDiv[[#This Row],[WHR Score]]-AVERAGE(TableMenDiv[WHR Score]))/STDEV(TableMenDiv[WHR Score])</f>
        <v>-0.19650768032838362</v>
      </c>
      <c r="I41">
        <f>RANK(TableMenDiv[[#This Row],[WHR Score]],TableMenDiv[WHR Score],0)</f>
        <v>113</v>
      </c>
      <c r="J41">
        <f>SUMPRODUCT((TableMenDiv[Division]=TableMenDiv[[#This Row],[Division]])*(TableMenDiv[WHR Score]&gt;TableMenDiv[[#This Row],[WHR Score]]))+1</f>
        <v>12</v>
      </c>
    </row>
    <row r="42" spans="4:10" x14ac:dyDescent="0.25">
      <c r="D42" t="s">
        <v>116</v>
      </c>
      <c r="E42" t="s">
        <v>47</v>
      </c>
      <c r="F42">
        <v>16</v>
      </c>
      <c r="G42">
        <v>1605.1</v>
      </c>
      <c r="H42" s="17">
        <f>(TableMenDiv[[#This Row],[WHR Score]]-AVERAGE(TableMenDiv[WHR Score]))/STDEV(TableMenDiv[WHR Score])</f>
        <v>-0.24131610444262419</v>
      </c>
      <c r="I42">
        <f>RANK(TableMenDiv[[#This Row],[WHR Score]],TableMenDiv[WHR Score],0)</f>
        <v>118</v>
      </c>
      <c r="J42">
        <f>SUMPRODUCT((TableMenDiv[Division]=TableMenDiv[[#This Row],[Division]])*(TableMenDiv[WHR Score]&gt;TableMenDiv[[#This Row],[WHR Score]]))+1</f>
        <v>13</v>
      </c>
    </row>
    <row r="43" spans="4:10" x14ac:dyDescent="0.25">
      <c r="D43" t="s">
        <v>117</v>
      </c>
      <c r="E43" t="s">
        <v>47</v>
      </c>
      <c r="F43">
        <v>17</v>
      </c>
      <c r="G43">
        <v>1588.9</v>
      </c>
      <c r="H43" s="17">
        <f>(TableMenDiv[[#This Row],[WHR Score]]-AVERAGE(TableMenDiv[WHR Score]))/STDEV(TableMenDiv[WHR Score])</f>
        <v>-0.38945824131010898</v>
      </c>
      <c r="I43">
        <f>RANK(TableMenDiv[[#This Row],[WHR Score]],TableMenDiv[WHR Score],0)</f>
        <v>134</v>
      </c>
      <c r="J43">
        <f>SUMPRODUCT((TableMenDiv[Division]=TableMenDiv[[#This Row],[Division]])*(TableMenDiv[WHR Score]&gt;TableMenDiv[[#This Row],[WHR Score]]))+1</f>
        <v>14</v>
      </c>
    </row>
    <row r="44" spans="4:10" x14ac:dyDescent="0.25">
      <c r="D44" t="s">
        <v>118</v>
      </c>
      <c r="E44" t="s">
        <v>47</v>
      </c>
      <c r="F44">
        <v>26</v>
      </c>
      <c r="G44">
        <v>1585.9</v>
      </c>
      <c r="H44" s="17">
        <f>(TableMenDiv[[#This Row],[WHR Score]]-AVERAGE(TableMenDiv[WHR Score]))/STDEV(TableMenDiv[WHR Score])</f>
        <v>-0.41689197035964354</v>
      </c>
      <c r="I44">
        <f>RANK(TableMenDiv[[#This Row],[WHR Score]],TableMenDiv[WHR Score],0)</f>
        <v>136</v>
      </c>
      <c r="J44">
        <f>SUMPRODUCT((TableMenDiv[Division]=TableMenDiv[[#This Row],[Division]])*(TableMenDiv[WHR Score]&gt;TableMenDiv[[#This Row],[WHR Score]]))+1</f>
        <v>15</v>
      </c>
    </row>
    <row r="45" spans="4:10" x14ac:dyDescent="0.25">
      <c r="D45" t="s">
        <v>119</v>
      </c>
      <c r="E45" t="s">
        <v>47</v>
      </c>
      <c r="F45">
        <v>15</v>
      </c>
      <c r="G45">
        <v>1577.3</v>
      </c>
      <c r="H45" s="17">
        <f>(TableMenDiv[[#This Row],[WHR Score]]-AVERAGE(TableMenDiv[WHR Score]))/STDEV(TableMenDiv[WHR Score])</f>
        <v>-0.49553532696831043</v>
      </c>
      <c r="I45">
        <f>RANK(TableMenDiv[[#This Row],[WHR Score]],TableMenDiv[WHR Score],0)</f>
        <v>149</v>
      </c>
      <c r="J45">
        <f>SUMPRODUCT((TableMenDiv[Division]=TableMenDiv[[#This Row],[Division]])*(TableMenDiv[WHR Score]&gt;TableMenDiv[[#This Row],[WHR Score]]))+1</f>
        <v>16</v>
      </c>
    </row>
    <row r="46" spans="4:10" x14ac:dyDescent="0.25">
      <c r="D46" t="s">
        <v>120</v>
      </c>
      <c r="E46" t="s">
        <v>47</v>
      </c>
      <c r="F46">
        <v>21</v>
      </c>
      <c r="G46">
        <v>1572.1</v>
      </c>
      <c r="H46" s="17">
        <f>(TableMenDiv[[#This Row],[WHR Score]]-AVERAGE(TableMenDiv[WHR Score]))/STDEV(TableMenDiv[WHR Score])</f>
        <v>-0.54308712398750403</v>
      </c>
      <c r="I46">
        <f>RANK(TableMenDiv[[#This Row],[WHR Score]],TableMenDiv[WHR Score],0)</f>
        <v>156</v>
      </c>
      <c r="J46">
        <f>SUMPRODUCT((TableMenDiv[Division]=TableMenDiv[[#This Row],[Division]])*(TableMenDiv[WHR Score]&gt;TableMenDiv[[#This Row],[WHR Score]]))+1</f>
        <v>17</v>
      </c>
    </row>
    <row r="47" spans="4:10" x14ac:dyDescent="0.25">
      <c r="D47" t="s">
        <v>121</v>
      </c>
      <c r="E47" t="s">
        <v>47</v>
      </c>
      <c r="F47">
        <v>15</v>
      </c>
      <c r="G47">
        <v>1562.9</v>
      </c>
      <c r="H47" s="17">
        <f>(TableMenDiv[[#This Row],[WHR Score]]-AVERAGE(TableMenDiv[WHR Score]))/STDEV(TableMenDiv[WHR Score])</f>
        <v>-0.62721722640607491</v>
      </c>
      <c r="I47">
        <f>RANK(TableMenDiv[[#This Row],[WHR Score]],TableMenDiv[WHR Score],0)</f>
        <v>167</v>
      </c>
      <c r="J47">
        <f>SUMPRODUCT((TableMenDiv[Division]=TableMenDiv[[#This Row],[Division]])*(TableMenDiv[WHR Score]&gt;TableMenDiv[[#This Row],[WHR Score]]))+1</f>
        <v>18</v>
      </c>
    </row>
    <row r="48" spans="4:10" x14ac:dyDescent="0.25">
      <c r="D48" t="s">
        <v>122</v>
      </c>
      <c r="E48" t="s">
        <v>47</v>
      </c>
      <c r="F48">
        <v>17</v>
      </c>
      <c r="G48">
        <v>1556.6</v>
      </c>
      <c r="H48" s="17">
        <f>(TableMenDiv[[#This Row],[WHR Score]]-AVERAGE(TableMenDiv[WHR Score]))/STDEV(TableMenDiv[WHR Score])</f>
        <v>-0.68482805741009911</v>
      </c>
      <c r="I48">
        <f>RANK(TableMenDiv[[#This Row],[WHR Score]],TableMenDiv[WHR Score],0)</f>
        <v>172</v>
      </c>
      <c r="J48">
        <f>SUMPRODUCT((TableMenDiv[Division]=TableMenDiv[[#This Row],[Division]])*(TableMenDiv[WHR Score]&gt;TableMenDiv[[#This Row],[WHR Score]]))+1</f>
        <v>19</v>
      </c>
    </row>
    <row r="49" spans="4:10" x14ac:dyDescent="0.25">
      <c r="D49" t="s">
        <v>123</v>
      </c>
      <c r="E49" t="s">
        <v>47</v>
      </c>
      <c r="F49">
        <v>13</v>
      </c>
      <c r="G49">
        <v>1555.2</v>
      </c>
      <c r="H49" s="17">
        <f>(TableMenDiv[[#This Row],[WHR Score]]-AVERAGE(TableMenDiv[WHR Score]))/STDEV(TableMenDiv[WHR Score])</f>
        <v>-0.69763046429988063</v>
      </c>
      <c r="I49">
        <f>RANK(TableMenDiv[[#This Row],[WHR Score]],TableMenDiv[WHR Score],0)</f>
        <v>174</v>
      </c>
      <c r="J49">
        <f>SUMPRODUCT((TableMenDiv[Division]=TableMenDiv[[#This Row],[Division]])*(TableMenDiv[WHR Score]&gt;TableMenDiv[[#This Row],[WHR Score]]))+1</f>
        <v>20</v>
      </c>
    </row>
    <row r="50" spans="4:10" x14ac:dyDescent="0.25">
      <c r="D50" t="s">
        <v>124</v>
      </c>
      <c r="E50" t="s">
        <v>47</v>
      </c>
      <c r="F50">
        <v>20</v>
      </c>
      <c r="G50">
        <v>1553.2</v>
      </c>
      <c r="H50" s="17">
        <f>(TableMenDiv[[#This Row],[WHR Score]]-AVERAGE(TableMenDiv[WHR Score]))/STDEV(TableMenDiv[WHR Score])</f>
        <v>-0.71591961699957041</v>
      </c>
      <c r="I50">
        <f>RANK(TableMenDiv[[#This Row],[WHR Score]],TableMenDiv[WHR Score],0)</f>
        <v>177</v>
      </c>
      <c r="J50">
        <f>SUMPRODUCT((TableMenDiv[Division]=TableMenDiv[[#This Row],[Division]])*(TableMenDiv[WHR Score]&gt;TableMenDiv[[#This Row],[WHR Score]]))+1</f>
        <v>21</v>
      </c>
    </row>
    <row r="51" spans="4:10" x14ac:dyDescent="0.25">
      <c r="D51" t="s">
        <v>125</v>
      </c>
      <c r="E51" t="s">
        <v>47</v>
      </c>
      <c r="F51">
        <v>15</v>
      </c>
      <c r="G51">
        <v>1548.3</v>
      </c>
      <c r="H51" s="17">
        <f>(TableMenDiv[[#This Row],[WHR Score]]-AVERAGE(TableMenDiv[WHR Score]))/STDEV(TableMenDiv[WHR Score])</f>
        <v>-0.76072804111381098</v>
      </c>
      <c r="I51">
        <f>RANK(TableMenDiv[[#This Row],[WHR Score]],TableMenDiv[WHR Score],0)</f>
        <v>180</v>
      </c>
      <c r="J51">
        <f>SUMPRODUCT((TableMenDiv[Division]=TableMenDiv[[#This Row],[Division]])*(TableMenDiv[WHR Score]&gt;TableMenDiv[[#This Row],[WHR Score]]))+1</f>
        <v>22</v>
      </c>
    </row>
    <row r="52" spans="4:10" x14ac:dyDescent="0.25">
      <c r="D52" t="s">
        <v>126</v>
      </c>
      <c r="E52" t="s">
        <v>47</v>
      </c>
      <c r="F52">
        <v>14</v>
      </c>
      <c r="G52">
        <v>1544.6</v>
      </c>
      <c r="H52" s="17">
        <f>(TableMenDiv[[#This Row],[WHR Score]]-AVERAGE(TableMenDiv[WHR Score]))/STDEV(TableMenDiv[WHR Score])</f>
        <v>-0.79456297360823724</v>
      </c>
      <c r="I52">
        <f>RANK(TableMenDiv[[#This Row],[WHR Score]],TableMenDiv[WHR Score],0)</f>
        <v>183</v>
      </c>
      <c r="J52">
        <f>SUMPRODUCT((TableMenDiv[Division]=TableMenDiv[[#This Row],[Division]])*(TableMenDiv[WHR Score]&gt;TableMenDiv[[#This Row],[WHR Score]]))+1</f>
        <v>23</v>
      </c>
    </row>
    <row r="53" spans="4:10" x14ac:dyDescent="0.25">
      <c r="D53" t="s">
        <v>127</v>
      </c>
      <c r="E53" t="s">
        <v>47</v>
      </c>
      <c r="F53">
        <v>17</v>
      </c>
      <c r="G53">
        <v>1537.1</v>
      </c>
      <c r="H53" s="17">
        <f>(TableMenDiv[[#This Row],[WHR Score]]-AVERAGE(TableMenDiv[WHR Score]))/STDEV(TableMenDiv[WHR Score])</f>
        <v>-0.86314729623207365</v>
      </c>
      <c r="I53">
        <f>RANK(TableMenDiv[[#This Row],[WHR Score]],TableMenDiv[WHR Score],0)</f>
        <v>191</v>
      </c>
      <c r="J53">
        <f>SUMPRODUCT((TableMenDiv[Division]=TableMenDiv[[#This Row],[Division]])*(TableMenDiv[WHR Score]&gt;TableMenDiv[[#This Row],[WHR Score]]))+1</f>
        <v>24</v>
      </c>
    </row>
    <row r="54" spans="4:10" x14ac:dyDescent="0.25">
      <c r="D54" t="s">
        <v>128</v>
      </c>
      <c r="E54" t="s">
        <v>47</v>
      </c>
      <c r="F54">
        <v>20</v>
      </c>
      <c r="G54">
        <v>1536.3</v>
      </c>
      <c r="H54" s="17">
        <f>(TableMenDiv[[#This Row],[WHR Score]]-AVERAGE(TableMenDiv[WHR Score]))/STDEV(TableMenDiv[WHR Score])</f>
        <v>-0.87046295731194911</v>
      </c>
      <c r="I54">
        <f>RANK(TableMenDiv[[#This Row],[WHR Score]],TableMenDiv[WHR Score],0)</f>
        <v>192</v>
      </c>
      <c r="J54">
        <f>SUMPRODUCT((TableMenDiv[Division]=TableMenDiv[[#This Row],[Division]])*(TableMenDiv[WHR Score]&gt;TableMenDiv[[#This Row],[WHR Score]]))+1</f>
        <v>25</v>
      </c>
    </row>
    <row r="55" spans="4:10" x14ac:dyDescent="0.25">
      <c r="D55" t="s">
        <v>129</v>
      </c>
      <c r="E55" t="s">
        <v>47</v>
      </c>
      <c r="F55">
        <v>13</v>
      </c>
      <c r="G55">
        <v>1515.9</v>
      </c>
      <c r="H55" s="17">
        <f>(TableMenDiv[[#This Row],[WHR Score]]-AVERAGE(TableMenDiv[WHR Score]))/STDEV(TableMenDiv[WHR Score])</f>
        <v>-1.0570123148487827</v>
      </c>
      <c r="I55">
        <f>RANK(TableMenDiv[[#This Row],[WHR Score]],TableMenDiv[WHR Score],0)</f>
        <v>203</v>
      </c>
      <c r="J55">
        <f>SUMPRODUCT((TableMenDiv[Division]=TableMenDiv[[#This Row],[Division]])*(TableMenDiv[WHR Score]&gt;TableMenDiv[[#This Row],[WHR Score]]))+1</f>
        <v>26</v>
      </c>
    </row>
    <row r="56" spans="4:10" x14ac:dyDescent="0.25">
      <c r="D56" t="s">
        <v>130</v>
      </c>
      <c r="E56" t="s">
        <v>47</v>
      </c>
      <c r="F56">
        <v>15</v>
      </c>
      <c r="G56">
        <v>1515</v>
      </c>
      <c r="H56" s="17">
        <f>(TableMenDiv[[#This Row],[WHR Score]]-AVERAGE(TableMenDiv[WHR Score]))/STDEV(TableMenDiv[WHR Score])</f>
        <v>-1.0652424335636439</v>
      </c>
      <c r="I56">
        <f>RANK(TableMenDiv[[#This Row],[WHR Score]],TableMenDiv[WHR Score],0)</f>
        <v>204</v>
      </c>
      <c r="J56">
        <f>SUMPRODUCT((TableMenDiv[Division]=TableMenDiv[[#This Row],[Division]])*(TableMenDiv[WHR Score]&gt;TableMenDiv[[#This Row],[WHR Score]]))+1</f>
        <v>27</v>
      </c>
    </row>
    <row r="57" spans="4:10" x14ac:dyDescent="0.25">
      <c r="D57" t="s">
        <v>131</v>
      </c>
      <c r="E57" t="s">
        <v>47</v>
      </c>
      <c r="F57">
        <v>16</v>
      </c>
      <c r="G57">
        <v>1497.2</v>
      </c>
      <c r="H57" s="17">
        <f>(TableMenDiv[[#This Row],[WHR Score]]-AVERAGE(TableMenDiv[WHR Score]))/STDEV(TableMenDiv[WHR Score])</f>
        <v>-1.2280158925908817</v>
      </c>
      <c r="I57">
        <f>RANK(TableMenDiv[[#This Row],[WHR Score]],TableMenDiv[WHR Score],0)</f>
        <v>214</v>
      </c>
      <c r="J57">
        <f>SUMPRODUCT((TableMenDiv[Division]=TableMenDiv[[#This Row],[Division]])*(TableMenDiv[WHR Score]&gt;TableMenDiv[[#This Row],[WHR Score]]))+1</f>
        <v>28</v>
      </c>
    </row>
    <row r="58" spans="4:10" x14ac:dyDescent="0.25">
      <c r="D58" t="s">
        <v>132</v>
      </c>
      <c r="E58" t="s">
        <v>47</v>
      </c>
      <c r="F58">
        <v>17</v>
      </c>
      <c r="G58">
        <v>1479.9</v>
      </c>
      <c r="H58" s="17">
        <f>(TableMenDiv[[#This Row],[WHR Score]]-AVERAGE(TableMenDiv[WHR Score]))/STDEV(TableMenDiv[WHR Score])</f>
        <v>-1.386217063443197</v>
      </c>
      <c r="I58">
        <f>RANK(TableMenDiv[[#This Row],[WHR Score]],TableMenDiv[WHR Score],0)</f>
        <v>219</v>
      </c>
      <c r="J58">
        <f>SUMPRODUCT((TableMenDiv[Division]=TableMenDiv[[#This Row],[Division]])*(TableMenDiv[WHR Score]&gt;TableMenDiv[[#This Row],[WHR Score]]))+1</f>
        <v>29</v>
      </c>
    </row>
    <row r="59" spans="4:10" x14ac:dyDescent="0.25">
      <c r="D59" t="s">
        <v>133</v>
      </c>
      <c r="E59" t="s">
        <v>47</v>
      </c>
      <c r="F59">
        <v>16</v>
      </c>
      <c r="G59">
        <v>1470.9</v>
      </c>
      <c r="H59" s="17">
        <f>(TableMenDiv[[#This Row],[WHR Score]]-AVERAGE(TableMenDiv[WHR Score]))/STDEV(TableMenDiv[WHR Score])</f>
        <v>-1.4685182505918006</v>
      </c>
      <c r="I59">
        <f>RANK(TableMenDiv[[#This Row],[WHR Score]],TableMenDiv[WHR Score],0)</f>
        <v>220</v>
      </c>
      <c r="J59">
        <f>SUMPRODUCT((TableMenDiv[Division]=TableMenDiv[[#This Row],[Division]])*(TableMenDiv[WHR Score]&gt;TableMenDiv[[#This Row],[WHR Score]]))+1</f>
        <v>30</v>
      </c>
    </row>
    <row r="60" spans="4:10" x14ac:dyDescent="0.25">
      <c r="D60" t="s">
        <v>40</v>
      </c>
      <c r="E60" t="s">
        <v>39</v>
      </c>
      <c r="F60">
        <v>18</v>
      </c>
      <c r="G60">
        <v>1912.4</v>
      </c>
      <c r="H60" s="17">
        <f>(TableMenDiv[[#This Row],[WHR Score]]-AVERAGE(TableMenDiv[WHR Score]))/STDEV(TableMenDiv[WHR Score])</f>
        <v>2.5688122078646982</v>
      </c>
      <c r="I60">
        <f>RANK(TableMenDiv[[#This Row],[WHR Score]],TableMenDiv[WHR Score],0)</f>
        <v>5</v>
      </c>
      <c r="J60">
        <f>SUMPRODUCT((TableMenDiv[Division]=TableMenDiv[[#This Row],[Division]])*(TableMenDiv[WHR Score]&gt;TableMenDiv[[#This Row],[WHR Score]]))+1</f>
        <v>1</v>
      </c>
    </row>
    <row r="61" spans="4:10" x14ac:dyDescent="0.25">
      <c r="D61" t="s">
        <v>42</v>
      </c>
      <c r="E61" t="s">
        <v>39</v>
      </c>
      <c r="F61">
        <v>23</v>
      </c>
      <c r="G61">
        <v>1885.5</v>
      </c>
      <c r="H61" s="17">
        <f>(TableMenDiv[[#This Row],[WHR Score]]-AVERAGE(TableMenDiv[WHR Score]))/STDEV(TableMenDiv[WHR Score])</f>
        <v>2.3228231040538709</v>
      </c>
      <c r="I61">
        <f>RANK(TableMenDiv[[#This Row],[WHR Score]],TableMenDiv[WHR Score],0)</f>
        <v>7</v>
      </c>
      <c r="J61">
        <f>SUMPRODUCT((TableMenDiv[Division]=TableMenDiv[[#This Row],[Division]])*(TableMenDiv[WHR Score]&gt;TableMenDiv[[#This Row],[WHR Score]]))+1</f>
        <v>2</v>
      </c>
    </row>
    <row r="62" spans="4:10" x14ac:dyDescent="0.25">
      <c r="D62" t="s">
        <v>49</v>
      </c>
      <c r="E62" t="s">
        <v>39</v>
      </c>
      <c r="F62">
        <v>32</v>
      </c>
      <c r="G62">
        <v>1844.4</v>
      </c>
      <c r="H62" s="17">
        <f>(TableMenDiv[[#This Row],[WHR Score]]-AVERAGE(TableMenDiv[WHR Score]))/STDEV(TableMenDiv[WHR Score])</f>
        <v>1.9469810160752488</v>
      </c>
      <c r="I62">
        <f>RANK(TableMenDiv[[#This Row],[WHR Score]],TableMenDiv[WHR Score],0)</f>
        <v>14</v>
      </c>
      <c r="J62">
        <f>SUMPRODUCT((TableMenDiv[Division]=TableMenDiv[[#This Row],[Division]])*(TableMenDiv[WHR Score]&gt;TableMenDiv[[#This Row],[WHR Score]]))+1</f>
        <v>3</v>
      </c>
    </row>
    <row r="63" spans="4:10" x14ac:dyDescent="0.25">
      <c r="D63" t="s">
        <v>53</v>
      </c>
      <c r="E63" t="s">
        <v>39</v>
      </c>
      <c r="F63">
        <v>14</v>
      </c>
      <c r="G63">
        <v>1774.9</v>
      </c>
      <c r="H63" s="17">
        <f>(TableMenDiv[[#This Row],[WHR Score]]-AVERAGE(TableMenDiv[WHR Score]))/STDEV(TableMenDiv[WHR Score])</f>
        <v>1.3114329597610321</v>
      </c>
      <c r="I63">
        <f>RANK(TableMenDiv[[#This Row],[WHR Score]],TableMenDiv[WHR Score],0)</f>
        <v>25</v>
      </c>
      <c r="J63">
        <f>SUMPRODUCT((TableMenDiv[Division]=TableMenDiv[[#This Row],[Division]])*(TableMenDiv[WHR Score]&gt;TableMenDiv[[#This Row],[WHR Score]]))+1</f>
        <v>4</v>
      </c>
    </row>
    <row r="64" spans="4:10" x14ac:dyDescent="0.25">
      <c r="D64" t="s">
        <v>134</v>
      </c>
      <c r="E64" t="s">
        <v>39</v>
      </c>
      <c r="F64">
        <v>15</v>
      </c>
      <c r="G64">
        <v>1650.8</v>
      </c>
      <c r="H64" s="17">
        <f>(TableMenDiv[[#This Row],[WHR Score]]-AVERAGE(TableMenDiv[WHR Score]))/STDEV(TableMenDiv[WHR Score])</f>
        <v>0.17659103474528565</v>
      </c>
      <c r="I64">
        <f>RANK(TableMenDiv[[#This Row],[WHR Score]],TableMenDiv[WHR Score],0)</f>
        <v>76</v>
      </c>
      <c r="J64">
        <f>SUMPRODUCT((TableMenDiv[Division]=TableMenDiv[[#This Row],[Division]])*(TableMenDiv[WHR Score]&gt;TableMenDiv[[#This Row],[WHR Score]]))+1</f>
        <v>5</v>
      </c>
    </row>
    <row r="65" spans="4:10" x14ac:dyDescent="0.25">
      <c r="D65" t="s">
        <v>135</v>
      </c>
      <c r="E65" t="s">
        <v>39</v>
      </c>
      <c r="F65">
        <v>14</v>
      </c>
      <c r="G65">
        <v>1642.9</v>
      </c>
      <c r="H65" s="17">
        <f>(TableMenDiv[[#This Row],[WHR Score]]-AVERAGE(TableMenDiv[WHR Score]))/STDEV(TableMenDiv[WHR Score])</f>
        <v>0.10434888158151261</v>
      </c>
      <c r="I65">
        <f>RANK(TableMenDiv[[#This Row],[WHR Score]],TableMenDiv[WHR Score],0)</f>
        <v>83</v>
      </c>
      <c r="J65">
        <f>SUMPRODUCT((TableMenDiv[Division]=TableMenDiv[[#This Row],[Division]])*(TableMenDiv[WHR Score]&gt;TableMenDiv[[#This Row],[WHR Score]]))+1</f>
        <v>6</v>
      </c>
    </row>
    <row r="66" spans="4:10" x14ac:dyDescent="0.25">
      <c r="D66" t="s">
        <v>136</v>
      </c>
      <c r="E66" t="s">
        <v>39</v>
      </c>
      <c r="F66">
        <v>13</v>
      </c>
      <c r="G66">
        <v>1636.3</v>
      </c>
      <c r="H66" s="17">
        <f>(TableMenDiv[[#This Row],[WHR Score]]-AVERAGE(TableMenDiv[WHR Score]))/STDEV(TableMenDiv[WHR Score])</f>
        <v>4.3994677672535391E-2</v>
      </c>
      <c r="I66">
        <f>RANK(TableMenDiv[[#This Row],[WHR Score]],TableMenDiv[WHR Score],0)</f>
        <v>88</v>
      </c>
      <c r="J66">
        <f>SUMPRODUCT((TableMenDiv[Division]=TableMenDiv[[#This Row],[Division]])*(TableMenDiv[WHR Score]&gt;TableMenDiv[[#This Row],[WHR Score]]))+1</f>
        <v>7</v>
      </c>
    </row>
    <row r="67" spans="4:10" x14ac:dyDescent="0.25">
      <c r="D67" t="s">
        <v>137</v>
      </c>
      <c r="E67" t="s">
        <v>39</v>
      </c>
      <c r="F67">
        <v>14</v>
      </c>
      <c r="G67">
        <v>1634.4</v>
      </c>
      <c r="H67" s="17">
        <f>(TableMenDiv[[#This Row],[WHR Score]]-AVERAGE(TableMenDiv[WHR Score]))/STDEV(TableMenDiv[WHR Score])</f>
        <v>2.6619982607831431E-2</v>
      </c>
      <c r="I67">
        <f>RANK(TableMenDiv[[#This Row],[WHR Score]],TableMenDiv[WHR Score],0)</f>
        <v>89</v>
      </c>
      <c r="J67">
        <f>SUMPRODUCT((TableMenDiv[Division]=TableMenDiv[[#This Row],[Division]])*(TableMenDiv[WHR Score]&gt;TableMenDiv[[#This Row],[WHR Score]]))+1</f>
        <v>8</v>
      </c>
    </row>
    <row r="68" spans="4:10" x14ac:dyDescent="0.25">
      <c r="D68" t="s">
        <v>138</v>
      </c>
      <c r="E68" t="s">
        <v>39</v>
      </c>
      <c r="F68">
        <v>17</v>
      </c>
      <c r="G68">
        <v>1612.4</v>
      </c>
      <c r="H68" s="17">
        <f>(TableMenDiv[[#This Row],[WHR Score]]-AVERAGE(TableMenDiv[WHR Score]))/STDEV(TableMenDiv[WHR Score])</f>
        <v>-0.17456069708875516</v>
      </c>
      <c r="I68">
        <f>RANK(TableMenDiv[[#This Row],[WHR Score]],TableMenDiv[WHR Score],0)</f>
        <v>107</v>
      </c>
      <c r="J68">
        <f>SUMPRODUCT((TableMenDiv[Division]=TableMenDiv[[#This Row],[Division]])*(TableMenDiv[WHR Score]&gt;TableMenDiv[[#This Row],[WHR Score]]))+1</f>
        <v>9</v>
      </c>
    </row>
    <row r="69" spans="4:10" x14ac:dyDescent="0.25">
      <c r="D69" t="s">
        <v>139</v>
      </c>
      <c r="E69" t="s">
        <v>39</v>
      </c>
      <c r="F69">
        <v>26</v>
      </c>
      <c r="G69">
        <v>1602.7</v>
      </c>
      <c r="H69" s="17">
        <f>(TableMenDiv[[#This Row],[WHR Score]]-AVERAGE(TableMenDiv[WHR Score]))/STDEV(TableMenDiv[WHR Score])</f>
        <v>-0.26326308768225054</v>
      </c>
      <c r="I69">
        <f>RANK(TableMenDiv[[#This Row],[WHR Score]],TableMenDiv[WHR Score],0)</f>
        <v>120</v>
      </c>
      <c r="J69">
        <f>SUMPRODUCT((TableMenDiv[Division]=TableMenDiv[[#This Row],[Division]])*(TableMenDiv[WHR Score]&gt;TableMenDiv[[#This Row],[WHR Score]]))+1</f>
        <v>10</v>
      </c>
    </row>
    <row r="70" spans="4:10" x14ac:dyDescent="0.25">
      <c r="D70" t="s">
        <v>140</v>
      </c>
      <c r="E70" t="s">
        <v>39</v>
      </c>
      <c r="F70">
        <v>17</v>
      </c>
      <c r="G70">
        <v>1599.2</v>
      </c>
      <c r="H70" s="17">
        <f>(TableMenDiv[[#This Row],[WHR Score]]-AVERAGE(TableMenDiv[WHR Score]))/STDEV(TableMenDiv[WHR Score])</f>
        <v>-0.29526910490670749</v>
      </c>
      <c r="I70">
        <f>RANK(TableMenDiv[[#This Row],[WHR Score]],TableMenDiv[WHR Score],0)</f>
        <v>127</v>
      </c>
      <c r="J70">
        <f>SUMPRODUCT((TableMenDiv[Division]=TableMenDiv[[#This Row],[Division]])*(TableMenDiv[WHR Score]&gt;TableMenDiv[[#This Row],[WHR Score]]))+1</f>
        <v>11</v>
      </c>
    </row>
    <row r="71" spans="4:10" x14ac:dyDescent="0.25">
      <c r="D71" t="s">
        <v>141</v>
      </c>
      <c r="E71" t="s">
        <v>39</v>
      </c>
      <c r="F71">
        <v>14</v>
      </c>
      <c r="G71">
        <v>1594.6</v>
      </c>
      <c r="H71" s="17">
        <f>(TableMenDiv[[#This Row],[WHR Score]]-AVERAGE(TableMenDiv[WHR Score]))/STDEV(TableMenDiv[WHR Score])</f>
        <v>-0.33733415611599504</v>
      </c>
      <c r="I71">
        <f>RANK(TableMenDiv[[#This Row],[WHR Score]],TableMenDiv[WHR Score],0)</f>
        <v>129</v>
      </c>
      <c r="J71">
        <f>SUMPRODUCT((TableMenDiv[Division]=TableMenDiv[[#This Row],[Division]])*(TableMenDiv[WHR Score]&gt;TableMenDiv[[#This Row],[WHR Score]]))+1</f>
        <v>12</v>
      </c>
    </row>
    <row r="72" spans="4:10" x14ac:dyDescent="0.25">
      <c r="D72" t="s">
        <v>142</v>
      </c>
      <c r="E72" t="s">
        <v>39</v>
      </c>
      <c r="F72">
        <v>30</v>
      </c>
      <c r="G72">
        <v>1584.5</v>
      </c>
      <c r="H72" s="17">
        <f>(TableMenDiv[[#This Row],[WHR Score]]-AVERAGE(TableMenDiv[WHR Score]))/STDEV(TableMenDiv[WHR Score])</f>
        <v>-0.42969437724942716</v>
      </c>
      <c r="I72">
        <f>RANK(TableMenDiv[[#This Row],[WHR Score]],TableMenDiv[WHR Score],0)</f>
        <v>138</v>
      </c>
      <c r="J72">
        <f>SUMPRODUCT((TableMenDiv[Division]=TableMenDiv[[#This Row],[Division]])*(TableMenDiv[WHR Score]&gt;TableMenDiv[[#This Row],[WHR Score]]))+1</f>
        <v>13</v>
      </c>
    </row>
    <row r="73" spans="4:10" x14ac:dyDescent="0.25">
      <c r="D73" t="s">
        <v>143</v>
      </c>
      <c r="E73" t="s">
        <v>39</v>
      </c>
      <c r="F73">
        <v>15</v>
      </c>
      <c r="G73">
        <v>1547.7</v>
      </c>
      <c r="H73" s="17">
        <f>(TableMenDiv[[#This Row],[WHR Score]]-AVERAGE(TableMenDiv[WHR Score]))/STDEV(TableMenDiv[WHR Score])</f>
        <v>-0.76621478692371703</v>
      </c>
      <c r="I73">
        <f>RANK(TableMenDiv[[#This Row],[WHR Score]],TableMenDiv[WHR Score],0)</f>
        <v>181</v>
      </c>
      <c r="J73">
        <f>SUMPRODUCT((TableMenDiv[Division]=TableMenDiv[[#This Row],[Division]])*(TableMenDiv[WHR Score]&gt;TableMenDiv[[#This Row],[WHR Score]]))+1</f>
        <v>14</v>
      </c>
    </row>
    <row r="74" spans="4:10" x14ac:dyDescent="0.25">
      <c r="D74" t="s">
        <v>144</v>
      </c>
      <c r="E74" t="s">
        <v>39</v>
      </c>
      <c r="F74">
        <v>21</v>
      </c>
      <c r="G74">
        <v>1543.5</v>
      </c>
      <c r="H74" s="17">
        <f>(TableMenDiv[[#This Row],[WHR Score]]-AVERAGE(TableMenDiv[WHR Score]))/STDEV(TableMenDiv[WHR Score])</f>
        <v>-0.80462200759306579</v>
      </c>
      <c r="I74">
        <f>RANK(TableMenDiv[[#This Row],[WHR Score]],TableMenDiv[WHR Score],0)</f>
        <v>185</v>
      </c>
      <c r="J74">
        <f>SUMPRODUCT((TableMenDiv[Division]=TableMenDiv[[#This Row],[Division]])*(TableMenDiv[WHR Score]&gt;TableMenDiv[[#This Row],[WHR Score]]))+1</f>
        <v>15</v>
      </c>
    </row>
    <row r="75" spans="4:10" x14ac:dyDescent="0.25">
      <c r="D75" t="s">
        <v>145</v>
      </c>
      <c r="E75" t="s">
        <v>39</v>
      </c>
      <c r="F75">
        <v>13</v>
      </c>
      <c r="G75">
        <v>1540.5</v>
      </c>
      <c r="H75" s="17">
        <f>(TableMenDiv[[#This Row],[WHR Score]]-AVERAGE(TableMenDiv[WHR Score]))/STDEV(TableMenDiv[WHR Score])</f>
        <v>-0.83205573664260035</v>
      </c>
      <c r="I75">
        <f>RANK(TableMenDiv[[#This Row],[WHR Score]],TableMenDiv[WHR Score],0)</f>
        <v>189</v>
      </c>
      <c r="J75">
        <f>SUMPRODUCT((TableMenDiv[Division]=TableMenDiv[[#This Row],[Division]])*(TableMenDiv[WHR Score]&gt;TableMenDiv[[#This Row],[WHR Score]]))+1</f>
        <v>16</v>
      </c>
    </row>
    <row r="76" spans="4:10" x14ac:dyDescent="0.25">
      <c r="D76" t="s">
        <v>146</v>
      </c>
      <c r="E76" t="s">
        <v>39</v>
      </c>
      <c r="F76">
        <v>17</v>
      </c>
      <c r="G76">
        <v>1536.3</v>
      </c>
      <c r="H76" s="17">
        <f>(TableMenDiv[[#This Row],[WHR Score]]-AVERAGE(TableMenDiv[WHR Score]))/STDEV(TableMenDiv[WHR Score])</f>
        <v>-0.87046295731194911</v>
      </c>
      <c r="I76">
        <f>RANK(TableMenDiv[[#This Row],[WHR Score]],TableMenDiv[WHR Score],0)</f>
        <v>192</v>
      </c>
      <c r="J76">
        <f>SUMPRODUCT((TableMenDiv[Division]=TableMenDiv[[#This Row],[Division]])*(TableMenDiv[WHR Score]&gt;TableMenDiv[[#This Row],[WHR Score]]))+1</f>
        <v>17</v>
      </c>
    </row>
    <row r="77" spans="4:10" x14ac:dyDescent="0.25">
      <c r="D77" t="s">
        <v>147</v>
      </c>
      <c r="E77" t="s">
        <v>39</v>
      </c>
      <c r="F77">
        <v>25</v>
      </c>
      <c r="G77">
        <v>1513.4</v>
      </c>
      <c r="H77" s="17">
        <f>(TableMenDiv[[#This Row],[WHR Score]]-AVERAGE(TableMenDiv[WHR Score]))/STDEV(TableMenDiv[WHR Score])</f>
        <v>-1.0798737557233948</v>
      </c>
      <c r="I77">
        <f>RANK(TableMenDiv[[#This Row],[WHR Score]],TableMenDiv[WHR Score],0)</f>
        <v>205</v>
      </c>
      <c r="J77">
        <f>SUMPRODUCT((TableMenDiv[Division]=TableMenDiv[[#This Row],[Division]])*(TableMenDiv[WHR Score]&gt;TableMenDiv[[#This Row],[WHR Score]]))+1</f>
        <v>18</v>
      </c>
    </row>
    <row r="78" spans="4:10" x14ac:dyDescent="0.25">
      <c r="D78" t="s">
        <v>148</v>
      </c>
      <c r="E78" t="s">
        <v>39</v>
      </c>
      <c r="F78">
        <v>17</v>
      </c>
      <c r="G78">
        <v>1510.6</v>
      </c>
      <c r="H78" s="17">
        <f>(TableMenDiv[[#This Row],[WHR Score]]-AVERAGE(TableMenDiv[WHR Score]))/STDEV(TableMenDiv[WHR Score])</f>
        <v>-1.1054785695029621</v>
      </c>
      <c r="I78">
        <f>RANK(TableMenDiv[[#This Row],[WHR Score]],TableMenDiv[WHR Score],0)</f>
        <v>209</v>
      </c>
      <c r="J78">
        <f>SUMPRODUCT((TableMenDiv[Division]=TableMenDiv[[#This Row],[Division]])*(TableMenDiv[WHR Score]&gt;TableMenDiv[[#This Row],[WHR Score]]))+1</f>
        <v>19</v>
      </c>
    </row>
    <row r="79" spans="4:10" x14ac:dyDescent="0.25">
      <c r="D79" t="s">
        <v>149</v>
      </c>
      <c r="E79" t="s">
        <v>39</v>
      </c>
      <c r="F79">
        <v>29</v>
      </c>
      <c r="G79">
        <v>1501.1</v>
      </c>
      <c r="H79" s="17">
        <f>(TableMenDiv[[#This Row],[WHR Score]]-AVERAGE(TableMenDiv[WHR Score]))/STDEV(TableMenDiv[WHR Score])</f>
        <v>-1.1923520448264879</v>
      </c>
      <c r="I79">
        <f>RANK(TableMenDiv[[#This Row],[WHR Score]],TableMenDiv[WHR Score],0)</f>
        <v>213</v>
      </c>
      <c r="J79">
        <f>SUMPRODUCT((TableMenDiv[Division]=TableMenDiv[[#This Row],[Division]])*(TableMenDiv[WHR Score]&gt;TableMenDiv[[#This Row],[WHR Score]]))+1</f>
        <v>20</v>
      </c>
    </row>
    <row r="80" spans="4:10" x14ac:dyDescent="0.25">
      <c r="D80" t="s">
        <v>150</v>
      </c>
      <c r="E80" t="s">
        <v>39</v>
      </c>
      <c r="F80">
        <v>15</v>
      </c>
      <c r="G80">
        <v>1492</v>
      </c>
      <c r="H80" s="17">
        <f>(TableMenDiv[[#This Row],[WHR Score]]-AVERAGE(TableMenDiv[WHR Score]))/STDEV(TableMenDiv[WHR Score])</f>
        <v>-1.2755676896100752</v>
      </c>
      <c r="I80">
        <f>RANK(TableMenDiv[[#This Row],[WHR Score]],TableMenDiv[WHR Score],0)</f>
        <v>215</v>
      </c>
      <c r="J80">
        <f>SUMPRODUCT((TableMenDiv[Division]=TableMenDiv[[#This Row],[Division]])*(TableMenDiv[WHR Score]&gt;TableMenDiv[[#This Row],[WHR Score]]))+1</f>
        <v>21</v>
      </c>
    </row>
    <row r="81" spans="4:10" x14ac:dyDescent="0.25">
      <c r="D81" t="s">
        <v>151</v>
      </c>
      <c r="E81" t="s">
        <v>39</v>
      </c>
      <c r="F81">
        <v>18</v>
      </c>
      <c r="G81">
        <v>1482.1</v>
      </c>
      <c r="H81" s="17">
        <f>(TableMenDiv[[#This Row],[WHR Score]]-AVERAGE(TableMenDiv[WHR Score]))/STDEV(TableMenDiv[WHR Score])</f>
        <v>-1.3660989954735401</v>
      </c>
      <c r="I81">
        <f>RANK(TableMenDiv[[#This Row],[WHR Score]],TableMenDiv[WHR Score],0)</f>
        <v>218</v>
      </c>
      <c r="J81">
        <f>SUMPRODUCT((TableMenDiv[Division]=TableMenDiv[[#This Row],[Division]])*(TableMenDiv[WHR Score]&gt;TableMenDiv[[#This Row],[WHR Score]]))+1</f>
        <v>22</v>
      </c>
    </row>
    <row r="82" spans="4:10" x14ac:dyDescent="0.25">
      <c r="D82" t="s">
        <v>152</v>
      </c>
      <c r="E82" t="s">
        <v>39</v>
      </c>
      <c r="F82">
        <v>14</v>
      </c>
      <c r="G82">
        <v>1470</v>
      </c>
      <c r="H82" s="17">
        <f>(TableMenDiv[[#This Row],[WHR Score]]-AVERAGE(TableMenDiv[WHR Score]))/STDEV(TableMenDiv[WHR Score])</f>
        <v>-1.4767483693066619</v>
      </c>
      <c r="I82">
        <f>RANK(TableMenDiv[[#This Row],[WHR Score]],TableMenDiv[WHR Score],0)</f>
        <v>221</v>
      </c>
      <c r="J82">
        <f>SUMPRODUCT((TableMenDiv[Division]=TableMenDiv[[#This Row],[Division]])*(TableMenDiv[WHR Score]&gt;TableMenDiv[[#This Row],[WHR Score]]))+1</f>
        <v>23</v>
      </c>
    </row>
    <row r="83" spans="4:10" x14ac:dyDescent="0.25">
      <c r="D83" t="s">
        <v>153</v>
      </c>
      <c r="E83" t="s">
        <v>39</v>
      </c>
      <c r="F83">
        <v>15</v>
      </c>
      <c r="G83">
        <v>1444.1</v>
      </c>
      <c r="H83" s="17">
        <f>(TableMenDiv[[#This Row],[WHR Score]]-AVERAGE(TableMenDiv[WHR Score]))/STDEV(TableMenDiv[WHR Score])</f>
        <v>-1.7135928967676441</v>
      </c>
      <c r="I83">
        <f>RANK(TableMenDiv[[#This Row],[WHR Score]],TableMenDiv[WHR Score],0)</f>
        <v>224</v>
      </c>
      <c r="J83">
        <f>SUMPRODUCT((TableMenDiv[Division]=TableMenDiv[[#This Row],[Division]])*(TableMenDiv[WHR Score]&gt;TableMenDiv[[#This Row],[WHR Score]]))+1</f>
        <v>24</v>
      </c>
    </row>
    <row r="84" spans="4:10" x14ac:dyDescent="0.25">
      <c r="D84" t="s">
        <v>154</v>
      </c>
      <c r="E84" t="s">
        <v>39</v>
      </c>
      <c r="F84">
        <v>14</v>
      </c>
      <c r="G84">
        <v>1420.3</v>
      </c>
      <c r="H84" s="17">
        <f>(TableMenDiv[[#This Row],[WHR Score]]-AVERAGE(TableMenDiv[WHR Score]))/STDEV(TableMenDiv[WHR Score])</f>
        <v>-1.9312338138939511</v>
      </c>
      <c r="I84">
        <f>RANK(TableMenDiv[[#This Row],[WHR Score]],TableMenDiv[WHR Score],0)</f>
        <v>225</v>
      </c>
      <c r="J84">
        <f>SUMPRODUCT((TableMenDiv[Division]=TableMenDiv[[#This Row],[Division]])*(TableMenDiv[WHR Score]&gt;TableMenDiv[[#This Row],[WHR Score]]))+1</f>
        <v>25</v>
      </c>
    </row>
    <row r="85" spans="4:10" x14ac:dyDescent="0.25">
      <c r="D85" t="s">
        <v>155</v>
      </c>
      <c r="E85" t="s">
        <v>39</v>
      </c>
      <c r="F85">
        <v>13</v>
      </c>
      <c r="G85">
        <v>1418.7</v>
      </c>
      <c r="H85" s="17">
        <f>(TableMenDiv[[#This Row],[WHR Score]]-AVERAGE(TableMenDiv[WHR Score]))/STDEV(TableMenDiv[WHR Score])</f>
        <v>-1.945865136053702</v>
      </c>
      <c r="I85">
        <f>RANK(TableMenDiv[[#This Row],[WHR Score]],TableMenDiv[WHR Score],0)</f>
        <v>226</v>
      </c>
      <c r="J85">
        <f>SUMPRODUCT((TableMenDiv[Division]=TableMenDiv[[#This Row],[Division]])*(TableMenDiv[WHR Score]&gt;TableMenDiv[[#This Row],[WHR Score]]))+1</f>
        <v>26</v>
      </c>
    </row>
    <row r="86" spans="4:10" x14ac:dyDescent="0.25">
      <c r="D86" t="s">
        <v>48</v>
      </c>
      <c r="E86" t="s">
        <v>41</v>
      </c>
      <c r="F86">
        <v>18</v>
      </c>
      <c r="G86">
        <v>1910.3</v>
      </c>
      <c r="H86" s="17">
        <f>(TableMenDiv[[#This Row],[WHR Score]]-AVERAGE(TableMenDiv[WHR Score]))/STDEV(TableMenDiv[WHR Score])</f>
        <v>2.5496085975300229</v>
      </c>
      <c r="I86">
        <f>RANK(TableMenDiv[[#This Row],[WHR Score]],TableMenDiv[WHR Score],0)</f>
        <v>6</v>
      </c>
      <c r="J86">
        <f>SUMPRODUCT((TableMenDiv[Division]=TableMenDiv[[#This Row],[Division]])*(TableMenDiv[WHR Score]&gt;TableMenDiv[[#This Row],[WHR Score]]))+1</f>
        <v>1</v>
      </c>
    </row>
    <row r="87" spans="4:10" x14ac:dyDescent="0.25">
      <c r="D87" t="s">
        <v>56</v>
      </c>
      <c r="E87" t="s">
        <v>41</v>
      </c>
      <c r="F87">
        <v>13</v>
      </c>
      <c r="G87">
        <v>1836.6</v>
      </c>
      <c r="H87" s="17">
        <f>(TableMenDiv[[#This Row],[WHR Score]]-AVERAGE(TableMenDiv[WHR Score]))/STDEV(TableMenDiv[WHR Score])</f>
        <v>1.8756533205464574</v>
      </c>
      <c r="I87">
        <f>RANK(TableMenDiv[[#This Row],[WHR Score]],TableMenDiv[WHR Score],0)</f>
        <v>15</v>
      </c>
      <c r="J87">
        <f>SUMPRODUCT((TableMenDiv[Division]=TableMenDiv[[#This Row],[Division]])*(TableMenDiv[WHR Score]&gt;TableMenDiv[[#This Row],[WHR Score]]))+1</f>
        <v>2</v>
      </c>
    </row>
    <row r="88" spans="4:10" x14ac:dyDescent="0.25">
      <c r="D88" t="s">
        <v>68</v>
      </c>
      <c r="E88" t="s">
        <v>41</v>
      </c>
      <c r="F88">
        <v>27</v>
      </c>
      <c r="G88">
        <v>1819.2</v>
      </c>
      <c r="H88" s="17">
        <f>(TableMenDiv[[#This Row],[WHR Score]]-AVERAGE(TableMenDiv[WHR Score]))/STDEV(TableMenDiv[WHR Score])</f>
        <v>1.7165376920591582</v>
      </c>
      <c r="I88">
        <f>RANK(TableMenDiv[[#This Row],[WHR Score]],TableMenDiv[WHR Score],0)</f>
        <v>17</v>
      </c>
      <c r="J88">
        <f>SUMPRODUCT((TableMenDiv[Division]=TableMenDiv[[#This Row],[Division]])*(TableMenDiv[WHR Score]&gt;TableMenDiv[[#This Row],[WHR Score]]))+1</f>
        <v>3</v>
      </c>
    </row>
    <row r="89" spans="4:10" x14ac:dyDescent="0.25">
      <c r="D89" t="s">
        <v>51</v>
      </c>
      <c r="E89" t="s">
        <v>41</v>
      </c>
      <c r="F89">
        <v>14</v>
      </c>
      <c r="G89">
        <v>1787.7</v>
      </c>
      <c r="H89" s="17">
        <f>(TableMenDiv[[#This Row],[WHR Score]]-AVERAGE(TableMenDiv[WHR Score]))/STDEV(TableMenDiv[WHR Score])</f>
        <v>1.4284835370390456</v>
      </c>
      <c r="I89">
        <f>RANK(TableMenDiv[[#This Row],[WHR Score]],TableMenDiv[WHR Score],0)</f>
        <v>22</v>
      </c>
      <c r="J89">
        <f>SUMPRODUCT((TableMenDiv[Division]=TableMenDiv[[#This Row],[Division]])*(TableMenDiv[WHR Score]&gt;TableMenDiv[[#This Row],[WHR Score]]))+1</f>
        <v>4</v>
      </c>
    </row>
    <row r="90" spans="4:10" x14ac:dyDescent="0.25">
      <c r="D90" t="s">
        <v>54</v>
      </c>
      <c r="E90" t="s">
        <v>41</v>
      </c>
      <c r="F90">
        <v>30</v>
      </c>
      <c r="G90">
        <v>1772.7</v>
      </c>
      <c r="H90" s="17">
        <f>(TableMenDiv[[#This Row],[WHR Score]]-AVERAGE(TableMenDiv[WHR Score]))/STDEV(TableMenDiv[WHR Score])</f>
        <v>1.291314891791373</v>
      </c>
      <c r="I90">
        <f>RANK(TableMenDiv[[#This Row],[WHR Score]],TableMenDiv[WHR Score],0)</f>
        <v>28</v>
      </c>
      <c r="J90">
        <f>SUMPRODUCT((TableMenDiv[Division]=TableMenDiv[[#This Row],[Division]])*(TableMenDiv[WHR Score]&gt;TableMenDiv[[#This Row],[WHR Score]]))+1</f>
        <v>5</v>
      </c>
    </row>
    <row r="91" spans="4:10" x14ac:dyDescent="0.25">
      <c r="D91" t="s">
        <v>88</v>
      </c>
      <c r="E91" t="s">
        <v>41</v>
      </c>
      <c r="F91">
        <v>36</v>
      </c>
      <c r="G91">
        <v>1738.9</v>
      </c>
      <c r="H91" s="17">
        <f>(TableMenDiv[[#This Row],[WHR Score]]-AVERAGE(TableMenDiv[WHR Score]))/STDEV(TableMenDiv[WHR Score])</f>
        <v>0.98222821116661774</v>
      </c>
      <c r="I91">
        <f>RANK(TableMenDiv[[#This Row],[WHR Score]],TableMenDiv[WHR Score],0)</f>
        <v>36</v>
      </c>
      <c r="J91">
        <f>SUMPRODUCT((TableMenDiv[Division]=TableMenDiv[[#This Row],[Division]])*(TableMenDiv[WHR Score]&gt;TableMenDiv[[#This Row],[WHR Score]]))+1</f>
        <v>6</v>
      </c>
    </row>
    <row r="92" spans="4:10" x14ac:dyDescent="0.25">
      <c r="D92" t="s">
        <v>65</v>
      </c>
      <c r="E92" t="s">
        <v>41</v>
      </c>
      <c r="F92">
        <v>31</v>
      </c>
      <c r="G92">
        <v>1709.8</v>
      </c>
      <c r="H92" s="17">
        <f>(TableMenDiv[[#This Row],[WHR Score]]-AVERAGE(TableMenDiv[WHR Score]))/STDEV(TableMenDiv[WHR Score])</f>
        <v>0.71612103938613147</v>
      </c>
      <c r="I92">
        <f>RANK(TableMenDiv[[#This Row],[WHR Score]],TableMenDiv[WHR Score],0)</f>
        <v>49</v>
      </c>
      <c r="J92">
        <f>SUMPRODUCT((TableMenDiv[Division]=TableMenDiv[[#This Row],[Division]])*(TableMenDiv[WHR Score]&gt;TableMenDiv[[#This Row],[WHR Score]]))+1</f>
        <v>7</v>
      </c>
    </row>
    <row r="93" spans="4:10" x14ac:dyDescent="0.25">
      <c r="D93" t="s">
        <v>156</v>
      </c>
      <c r="E93" t="s">
        <v>41</v>
      </c>
      <c r="F93">
        <v>36</v>
      </c>
      <c r="G93">
        <v>1708</v>
      </c>
      <c r="H93" s="17">
        <f>(TableMenDiv[[#This Row],[WHR Score]]-AVERAGE(TableMenDiv[WHR Score]))/STDEV(TableMenDiv[WHR Score])</f>
        <v>0.69966080195641112</v>
      </c>
      <c r="I93">
        <f>RANK(TableMenDiv[[#This Row],[WHR Score]],TableMenDiv[WHR Score],0)</f>
        <v>50</v>
      </c>
      <c r="J93">
        <f>SUMPRODUCT((TableMenDiv[Division]=TableMenDiv[[#This Row],[Division]])*(TableMenDiv[WHR Score]&gt;TableMenDiv[[#This Row],[WHR Score]]))+1</f>
        <v>8</v>
      </c>
    </row>
    <row r="94" spans="4:10" x14ac:dyDescent="0.25">
      <c r="D94" t="s">
        <v>157</v>
      </c>
      <c r="E94" t="s">
        <v>41</v>
      </c>
      <c r="F94">
        <v>12</v>
      </c>
      <c r="G94">
        <v>1698.9</v>
      </c>
      <c r="H94" s="17">
        <f>(TableMenDiv[[#This Row],[WHR Score]]-AVERAGE(TableMenDiv[WHR Score]))/STDEV(TableMenDiv[WHR Score])</f>
        <v>0.61644515717282389</v>
      </c>
      <c r="I94">
        <f>RANK(TableMenDiv[[#This Row],[WHR Score]],TableMenDiv[WHR Score],0)</f>
        <v>53</v>
      </c>
      <c r="J94">
        <f>SUMPRODUCT((TableMenDiv[Division]=TableMenDiv[[#This Row],[Division]])*(TableMenDiv[WHR Score]&gt;TableMenDiv[[#This Row],[WHR Score]]))+1</f>
        <v>9</v>
      </c>
    </row>
    <row r="95" spans="4:10" x14ac:dyDescent="0.25">
      <c r="D95" t="s">
        <v>62</v>
      </c>
      <c r="E95" t="s">
        <v>41</v>
      </c>
      <c r="F95">
        <v>15</v>
      </c>
      <c r="G95">
        <v>1692.9</v>
      </c>
      <c r="H95" s="17">
        <f>(TableMenDiv[[#This Row],[WHR Score]]-AVERAGE(TableMenDiv[WHR Score]))/STDEV(TableMenDiv[WHR Score])</f>
        <v>0.56157769907375488</v>
      </c>
      <c r="I95">
        <f>RANK(TableMenDiv[[#This Row],[WHR Score]],TableMenDiv[WHR Score],0)</f>
        <v>57</v>
      </c>
      <c r="J95">
        <f>SUMPRODUCT((TableMenDiv[Division]=TableMenDiv[[#This Row],[Division]])*(TableMenDiv[WHR Score]&gt;TableMenDiv[[#This Row],[WHR Score]]))+1</f>
        <v>10</v>
      </c>
    </row>
    <row r="96" spans="4:10" x14ac:dyDescent="0.25">
      <c r="D96" t="s">
        <v>158</v>
      </c>
      <c r="E96" t="s">
        <v>41</v>
      </c>
      <c r="F96">
        <v>37</v>
      </c>
      <c r="G96">
        <v>1667.7</v>
      </c>
      <c r="H96" s="17">
        <f>(TableMenDiv[[#This Row],[WHR Score]]-AVERAGE(TableMenDiv[WHR Score]))/STDEV(TableMenDiv[WHR Score])</f>
        <v>0.33113437505766435</v>
      </c>
      <c r="I96">
        <f>RANK(TableMenDiv[[#This Row],[WHR Score]],TableMenDiv[WHR Score],0)</f>
        <v>68</v>
      </c>
      <c r="J96">
        <f>SUMPRODUCT((TableMenDiv[Division]=TableMenDiv[[#This Row],[Division]])*(TableMenDiv[WHR Score]&gt;TableMenDiv[[#This Row],[WHR Score]]))+1</f>
        <v>11</v>
      </c>
    </row>
    <row r="97" spans="4:10" x14ac:dyDescent="0.25">
      <c r="D97" t="s">
        <v>159</v>
      </c>
      <c r="E97" t="s">
        <v>41</v>
      </c>
      <c r="F97">
        <v>24</v>
      </c>
      <c r="G97">
        <v>1667.5</v>
      </c>
      <c r="H97" s="17">
        <f>(TableMenDiv[[#This Row],[WHR Score]]-AVERAGE(TableMenDiv[WHR Score]))/STDEV(TableMenDiv[WHR Score])</f>
        <v>0.32930545978769493</v>
      </c>
      <c r="I97">
        <f>RANK(TableMenDiv[[#This Row],[WHR Score]],TableMenDiv[WHR Score],0)</f>
        <v>69</v>
      </c>
      <c r="J97">
        <f>SUMPRODUCT((TableMenDiv[Division]=TableMenDiv[[#This Row],[Division]])*(TableMenDiv[WHR Score]&gt;TableMenDiv[[#This Row],[WHR Score]]))+1</f>
        <v>12</v>
      </c>
    </row>
    <row r="98" spans="4:10" x14ac:dyDescent="0.25">
      <c r="D98" t="s">
        <v>160</v>
      </c>
      <c r="E98" t="s">
        <v>41</v>
      </c>
      <c r="F98">
        <v>17</v>
      </c>
      <c r="G98">
        <v>1663.4</v>
      </c>
      <c r="H98" s="17">
        <f>(TableMenDiv[[#This Row],[WHR Score]]-AVERAGE(TableMenDiv[WHR Score]))/STDEV(TableMenDiv[WHR Score])</f>
        <v>0.29181269675333193</v>
      </c>
      <c r="I98">
        <f>RANK(TableMenDiv[[#This Row],[WHR Score]],TableMenDiv[WHR Score],0)</f>
        <v>72</v>
      </c>
      <c r="J98">
        <f>SUMPRODUCT((TableMenDiv[Division]=TableMenDiv[[#This Row],[Division]])*(TableMenDiv[WHR Score]&gt;TableMenDiv[[#This Row],[WHR Score]]))+1</f>
        <v>13</v>
      </c>
    </row>
    <row r="99" spans="4:10" x14ac:dyDescent="0.25">
      <c r="D99" t="s">
        <v>161</v>
      </c>
      <c r="E99" t="s">
        <v>41</v>
      </c>
      <c r="F99">
        <v>19</v>
      </c>
      <c r="G99">
        <v>1650.1</v>
      </c>
      <c r="H99" s="17">
        <f>(TableMenDiv[[#This Row],[WHR Score]]-AVERAGE(TableMenDiv[WHR Score]))/STDEV(TableMenDiv[WHR Score])</f>
        <v>0.17018983130039383</v>
      </c>
      <c r="I99">
        <f>RANK(TableMenDiv[[#This Row],[WHR Score]],TableMenDiv[WHR Score],0)</f>
        <v>77</v>
      </c>
      <c r="J99">
        <f>SUMPRODUCT((TableMenDiv[Division]=TableMenDiv[[#This Row],[Division]])*(TableMenDiv[WHR Score]&gt;TableMenDiv[[#This Row],[WHR Score]]))+1</f>
        <v>14</v>
      </c>
    </row>
    <row r="100" spans="4:10" x14ac:dyDescent="0.25">
      <c r="D100" t="s">
        <v>162</v>
      </c>
      <c r="E100" t="s">
        <v>41</v>
      </c>
      <c r="F100">
        <v>15</v>
      </c>
      <c r="G100">
        <v>1648.6</v>
      </c>
      <c r="H100" s="17">
        <f>(TableMenDiv[[#This Row],[WHR Score]]-AVERAGE(TableMenDiv[WHR Score]))/STDEV(TableMenDiv[WHR Score])</f>
        <v>0.15647296677562655</v>
      </c>
      <c r="I100">
        <f>RANK(TableMenDiv[[#This Row],[WHR Score]],TableMenDiv[WHR Score],0)</f>
        <v>78</v>
      </c>
      <c r="J100">
        <f>SUMPRODUCT((TableMenDiv[Division]=TableMenDiv[[#This Row],[Division]])*(TableMenDiv[WHR Score]&gt;TableMenDiv[[#This Row],[WHR Score]]))+1</f>
        <v>15</v>
      </c>
    </row>
    <row r="101" spans="4:10" x14ac:dyDescent="0.25">
      <c r="D101" t="s">
        <v>163</v>
      </c>
      <c r="E101" t="s">
        <v>41</v>
      </c>
      <c r="F101">
        <v>20</v>
      </c>
      <c r="G101">
        <v>1647.6</v>
      </c>
      <c r="H101" s="17">
        <f>(TableMenDiv[[#This Row],[WHR Score]]-AVERAGE(TableMenDiv[WHR Score]))/STDEV(TableMenDiv[WHR Score])</f>
        <v>0.14732839042578172</v>
      </c>
      <c r="I101">
        <f>RANK(TableMenDiv[[#This Row],[WHR Score]],TableMenDiv[WHR Score],0)</f>
        <v>80</v>
      </c>
      <c r="J101">
        <f>SUMPRODUCT((TableMenDiv[Division]=TableMenDiv[[#This Row],[Division]])*(TableMenDiv[WHR Score]&gt;TableMenDiv[[#This Row],[WHR Score]]))+1</f>
        <v>16</v>
      </c>
    </row>
    <row r="102" spans="4:10" x14ac:dyDescent="0.25">
      <c r="D102" t="s">
        <v>164</v>
      </c>
      <c r="E102" t="s">
        <v>41</v>
      </c>
      <c r="F102">
        <v>26</v>
      </c>
      <c r="G102">
        <v>1641.1</v>
      </c>
      <c r="H102" s="17">
        <f>(TableMenDiv[[#This Row],[WHR Score]]-AVERAGE(TableMenDiv[WHR Score]))/STDEV(TableMenDiv[WHR Score])</f>
        <v>8.7888644151790221E-2</v>
      </c>
      <c r="I102">
        <f>RANK(TableMenDiv[[#This Row],[WHR Score]],TableMenDiv[WHR Score],0)</f>
        <v>84</v>
      </c>
      <c r="J102">
        <f>SUMPRODUCT((TableMenDiv[Division]=TableMenDiv[[#This Row],[Division]])*(TableMenDiv[WHR Score]&gt;TableMenDiv[[#This Row],[WHR Score]]))+1</f>
        <v>17</v>
      </c>
    </row>
    <row r="103" spans="4:10" x14ac:dyDescent="0.25">
      <c r="D103" t="s">
        <v>165</v>
      </c>
      <c r="E103" t="s">
        <v>41</v>
      </c>
      <c r="F103">
        <v>13</v>
      </c>
      <c r="G103">
        <v>1628.8</v>
      </c>
      <c r="H103" s="17">
        <f>(TableMenDiv[[#This Row],[WHR Score]]-AVERAGE(TableMenDiv[WHR Score]))/STDEV(TableMenDiv[WHR Score])</f>
        <v>-2.4589644951300945E-2</v>
      </c>
      <c r="I103">
        <f>RANK(TableMenDiv[[#This Row],[WHR Score]],TableMenDiv[WHR Score],0)</f>
        <v>93</v>
      </c>
      <c r="J103">
        <f>SUMPRODUCT((TableMenDiv[Division]=TableMenDiv[[#This Row],[Division]])*(TableMenDiv[WHR Score]&gt;TableMenDiv[[#This Row],[WHR Score]]))+1</f>
        <v>18</v>
      </c>
    </row>
    <row r="104" spans="4:10" x14ac:dyDescent="0.25">
      <c r="D104" t="s">
        <v>166</v>
      </c>
      <c r="E104" t="s">
        <v>41</v>
      </c>
      <c r="F104">
        <v>20</v>
      </c>
      <c r="G104">
        <v>1608.1</v>
      </c>
      <c r="H104" s="17">
        <f>(TableMenDiv[[#This Row],[WHR Score]]-AVERAGE(TableMenDiv[WHR Score]))/STDEV(TableMenDiv[WHR Score])</f>
        <v>-0.21388237539308966</v>
      </c>
      <c r="I104">
        <f>RANK(TableMenDiv[[#This Row],[WHR Score]],TableMenDiv[WHR Score],0)</f>
        <v>115</v>
      </c>
      <c r="J104">
        <f>SUMPRODUCT((TableMenDiv[Division]=TableMenDiv[[#This Row],[Division]])*(TableMenDiv[WHR Score]&gt;TableMenDiv[[#This Row],[WHR Score]]))+1</f>
        <v>19</v>
      </c>
    </row>
    <row r="105" spans="4:10" x14ac:dyDescent="0.25">
      <c r="D105" t="s">
        <v>167</v>
      </c>
      <c r="E105" t="s">
        <v>41</v>
      </c>
      <c r="F105">
        <v>27</v>
      </c>
      <c r="G105">
        <v>1607</v>
      </c>
      <c r="H105" s="17">
        <f>(TableMenDiv[[#This Row],[WHR Score]]-AVERAGE(TableMenDiv[WHR Score]))/STDEV(TableMenDiv[WHR Score])</f>
        <v>-0.22394140937791815</v>
      </c>
      <c r="I105">
        <f>RANK(TableMenDiv[[#This Row],[WHR Score]],TableMenDiv[WHR Score],0)</f>
        <v>116</v>
      </c>
      <c r="J105">
        <f>SUMPRODUCT((TableMenDiv[Division]=TableMenDiv[[#This Row],[Division]])*(TableMenDiv[WHR Score]&gt;TableMenDiv[[#This Row],[WHR Score]]))+1</f>
        <v>20</v>
      </c>
    </row>
    <row r="106" spans="4:10" x14ac:dyDescent="0.25">
      <c r="D106" t="s">
        <v>168</v>
      </c>
      <c r="E106" t="s">
        <v>41</v>
      </c>
      <c r="F106">
        <v>46</v>
      </c>
      <c r="G106">
        <v>1606.7</v>
      </c>
      <c r="H106" s="17">
        <f>(TableMenDiv[[#This Row],[WHR Score]]-AVERAGE(TableMenDiv[WHR Score]))/STDEV(TableMenDiv[WHR Score])</f>
        <v>-0.22668478228287117</v>
      </c>
      <c r="I106">
        <f>RANK(TableMenDiv[[#This Row],[WHR Score]],TableMenDiv[WHR Score],0)</f>
        <v>117</v>
      </c>
      <c r="J106">
        <f>SUMPRODUCT((TableMenDiv[Division]=TableMenDiv[[#This Row],[Division]])*(TableMenDiv[WHR Score]&gt;TableMenDiv[[#This Row],[WHR Score]]))+1</f>
        <v>21</v>
      </c>
    </row>
    <row r="107" spans="4:10" x14ac:dyDescent="0.25">
      <c r="D107" t="s">
        <v>169</v>
      </c>
      <c r="E107" t="s">
        <v>41</v>
      </c>
      <c r="F107">
        <v>32</v>
      </c>
      <c r="G107">
        <v>1602.8</v>
      </c>
      <c r="H107" s="17">
        <f>(TableMenDiv[[#This Row],[WHR Score]]-AVERAGE(TableMenDiv[WHR Score]))/STDEV(TableMenDiv[WHR Score])</f>
        <v>-0.26234863004726688</v>
      </c>
      <c r="I107">
        <f>RANK(TableMenDiv[[#This Row],[WHR Score]],TableMenDiv[WHR Score],0)</f>
        <v>119</v>
      </c>
      <c r="J107">
        <f>SUMPRODUCT((TableMenDiv[Division]=TableMenDiv[[#This Row],[Division]])*(TableMenDiv[WHR Score]&gt;TableMenDiv[[#This Row],[WHR Score]]))+1</f>
        <v>22</v>
      </c>
    </row>
    <row r="108" spans="4:10" x14ac:dyDescent="0.25">
      <c r="D108" t="s">
        <v>170</v>
      </c>
      <c r="E108" t="s">
        <v>41</v>
      </c>
      <c r="F108">
        <v>13</v>
      </c>
      <c r="G108">
        <v>1599.8</v>
      </c>
      <c r="H108" s="17">
        <f>(TableMenDiv[[#This Row],[WHR Score]]-AVERAGE(TableMenDiv[WHR Score]))/STDEV(TableMenDiv[WHR Score])</f>
        <v>-0.28978235909680145</v>
      </c>
      <c r="I108">
        <f>RANK(TableMenDiv[[#This Row],[WHR Score]],TableMenDiv[WHR Score],0)</f>
        <v>125</v>
      </c>
      <c r="J108">
        <f>SUMPRODUCT((TableMenDiv[Division]=TableMenDiv[[#This Row],[Division]])*(TableMenDiv[WHR Score]&gt;TableMenDiv[[#This Row],[WHR Score]]))+1</f>
        <v>23</v>
      </c>
    </row>
    <row r="109" spans="4:10" x14ac:dyDescent="0.25">
      <c r="D109" t="s">
        <v>171</v>
      </c>
      <c r="E109" t="s">
        <v>41</v>
      </c>
      <c r="F109">
        <v>13</v>
      </c>
      <c r="G109">
        <v>1597.1</v>
      </c>
      <c r="H109" s="17">
        <f>(TableMenDiv[[#This Row],[WHR Score]]-AVERAGE(TableMenDiv[WHR Score]))/STDEV(TableMenDiv[WHR Score])</f>
        <v>-0.31447271524138293</v>
      </c>
      <c r="I109">
        <f>RANK(TableMenDiv[[#This Row],[WHR Score]],TableMenDiv[WHR Score],0)</f>
        <v>128</v>
      </c>
      <c r="J109">
        <f>SUMPRODUCT((TableMenDiv[Division]=TableMenDiv[[#This Row],[Division]])*(TableMenDiv[WHR Score]&gt;TableMenDiv[[#This Row],[WHR Score]]))+1</f>
        <v>24</v>
      </c>
    </row>
    <row r="110" spans="4:10" x14ac:dyDescent="0.25">
      <c r="D110" t="s">
        <v>172</v>
      </c>
      <c r="E110" t="s">
        <v>41</v>
      </c>
      <c r="F110">
        <v>19</v>
      </c>
      <c r="G110">
        <v>1589.9</v>
      </c>
      <c r="H110" s="17">
        <f>(TableMenDiv[[#This Row],[WHR Score]]-AVERAGE(TableMenDiv[WHR Score]))/STDEV(TableMenDiv[WHR Score])</f>
        <v>-0.38031366496026414</v>
      </c>
      <c r="I110">
        <f>RANK(TableMenDiv[[#This Row],[WHR Score]],TableMenDiv[WHR Score],0)</f>
        <v>132</v>
      </c>
      <c r="J110">
        <f>SUMPRODUCT((TableMenDiv[Division]=TableMenDiv[[#This Row],[Division]])*(TableMenDiv[WHR Score]&gt;TableMenDiv[[#This Row],[WHR Score]]))+1</f>
        <v>25</v>
      </c>
    </row>
    <row r="111" spans="4:10" x14ac:dyDescent="0.25">
      <c r="D111" t="s">
        <v>173</v>
      </c>
      <c r="E111" t="s">
        <v>41</v>
      </c>
      <c r="F111">
        <v>26</v>
      </c>
      <c r="G111">
        <v>1579.9</v>
      </c>
      <c r="H111" s="17">
        <f>(TableMenDiv[[#This Row],[WHR Score]]-AVERAGE(TableMenDiv[WHR Score]))/STDEV(TableMenDiv[WHR Score])</f>
        <v>-0.4717594284587126</v>
      </c>
      <c r="I111">
        <f>RANK(TableMenDiv[[#This Row],[WHR Score]],TableMenDiv[WHR Score],0)</f>
        <v>146</v>
      </c>
      <c r="J111">
        <f>SUMPRODUCT((TableMenDiv[Division]=TableMenDiv[[#This Row],[Division]])*(TableMenDiv[WHR Score]&gt;TableMenDiv[[#This Row],[WHR Score]]))+1</f>
        <v>26</v>
      </c>
    </row>
    <row r="112" spans="4:10" x14ac:dyDescent="0.25">
      <c r="D112" t="s">
        <v>174</v>
      </c>
      <c r="E112" t="s">
        <v>41</v>
      </c>
      <c r="F112">
        <v>24</v>
      </c>
      <c r="G112">
        <v>1577.6</v>
      </c>
      <c r="H112" s="17">
        <f>(TableMenDiv[[#This Row],[WHR Score]]-AVERAGE(TableMenDiv[WHR Score]))/STDEV(TableMenDiv[WHR Score])</f>
        <v>-0.49279195406335741</v>
      </c>
      <c r="I112">
        <f>RANK(TableMenDiv[[#This Row],[WHR Score]],TableMenDiv[WHR Score],0)</f>
        <v>148</v>
      </c>
      <c r="J112">
        <f>SUMPRODUCT((TableMenDiv[Division]=TableMenDiv[[#This Row],[Division]])*(TableMenDiv[WHR Score]&gt;TableMenDiv[[#This Row],[WHR Score]]))+1</f>
        <v>27</v>
      </c>
    </row>
    <row r="113" spans="4:10" x14ac:dyDescent="0.25">
      <c r="D113" t="s">
        <v>175</v>
      </c>
      <c r="E113" t="s">
        <v>41</v>
      </c>
      <c r="F113">
        <v>17</v>
      </c>
      <c r="G113">
        <v>1572.7</v>
      </c>
      <c r="H113" s="17">
        <f>(TableMenDiv[[#This Row],[WHR Score]]-AVERAGE(TableMenDiv[WHR Score]))/STDEV(TableMenDiv[WHR Score])</f>
        <v>-0.53760037817759587</v>
      </c>
      <c r="I113">
        <f>RANK(TableMenDiv[[#This Row],[WHR Score]],TableMenDiv[WHR Score],0)</f>
        <v>155</v>
      </c>
      <c r="J113">
        <f>SUMPRODUCT((TableMenDiv[Division]=TableMenDiv[[#This Row],[Division]])*(TableMenDiv[WHR Score]&gt;TableMenDiv[[#This Row],[WHR Score]]))+1</f>
        <v>28</v>
      </c>
    </row>
    <row r="114" spans="4:10" x14ac:dyDescent="0.25">
      <c r="D114" t="s">
        <v>176</v>
      </c>
      <c r="E114" t="s">
        <v>41</v>
      </c>
      <c r="F114">
        <v>15</v>
      </c>
      <c r="G114">
        <v>1566.9</v>
      </c>
      <c r="H114" s="17">
        <f>(TableMenDiv[[#This Row],[WHR Score]]-AVERAGE(TableMenDiv[WHR Score]))/STDEV(TableMenDiv[WHR Score])</f>
        <v>-0.59063892100669557</v>
      </c>
      <c r="I114">
        <f>RANK(TableMenDiv[[#This Row],[WHR Score]],TableMenDiv[WHR Score],0)</f>
        <v>162</v>
      </c>
      <c r="J114">
        <f>SUMPRODUCT((TableMenDiv[Division]=TableMenDiv[[#This Row],[Division]])*(TableMenDiv[WHR Score]&gt;TableMenDiv[[#This Row],[WHR Score]]))+1</f>
        <v>29</v>
      </c>
    </row>
    <row r="115" spans="4:10" x14ac:dyDescent="0.25">
      <c r="D115" t="s">
        <v>177</v>
      </c>
      <c r="E115" t="s">
        <v>41</v>
      </c>
      <c r="F115">
        <v>14</v>
      </c>
      <c r="G115">
        <v>1565.6</v>
      </c>
      <c r="H115" s="17">
        <f>(TableMenDiv[[#This Row],[WHR Score]]-AVERAGE(TableMenDiv[WHR Score]))/STDEV(TableMenDiv[WHR Score])</f>
        <v>-0.60252687026149554</v>
      </c>
      <c r="I115">
        <f>RANK(TableMenDiv[[#This Row],[WHR Score]],TableMenDiv[WHR Score],0)</f>
        <v>163</v>
      </c>
      <c r="J115">
        <f>SUMPRODUCT((TableMenDiv[Division]=TableMenDiv[[#This Row],[Division]])*(TableMenDiv[WHR Score]&gt;TableMenDiv[[#This Row],[WHR Score]]))+1</f>
        <v>30</v>
      </c>
    </row>
    <row r="116" spans="4:10" x14ac:dyDescent="0.25">
      <c r="D116" t="s">
        <v>36</v>
      </c>
      <c r="E116" t="s">
        <v>37</v>
      </c>
      <c r="F116">
        <v>22</v>
      </c>
      <c r="G116">
        <v>1990.2</v>
      </c>
      <c r="H116" s="17">
        <f>(TableMenDiv[[#This Row],[WHR Score]]-AVERAGE(TableMenDiv[WHR Score]))/STDEV(TableMenDiv[WHR Score])</f>
        <v>3.2802602478826266</v>
      </c>
      <c r="I116">
        <f>RANK(TableMenDiv[[#This Row],[WHR Score]],TableMenDiv[WHR Score],0)</f>
        <v>2</v>
      </c>
      <c r="J116">
        <f>SUMPRODUCT((TableMenDiv[Division]=TableMenDiv[[#This Row],[Division]])*(TableMenDiv[WHR Score]&gt;TableMenDiv[[#This Row],[WHR Score]]))+1</f>
        <v>1</v>
      </c>
    </row>
    <row r="117" spans="4:10" x14ac:dyDescent="0.25">
      <c r="D117" t="s">
        <v>46</v>
      </c>
      <c r="E117" t="s">
        <v>37</v>
      </c>
      <c r="F117">
        <v>19</v>
      </c>
      <c r="G117">
        <v>1857</v>
      </c>
      <c r="H117" s="17">
        <f>(TableMenDiv[[#This Row],[WHR Score]]-AVERAGE(TableMenDiv[WHR Score]))/STDEV(TableMenDiv[WHR Score])</f>
        <v>2.0622026780832932</v>
      </c>
      <c r="I117">
        <f>RANK(TableMenDiv[[#This Row],[WHR Score]],TableMenDiv[WHR Score],0)</f>
        <v>11</v>
      </c>
      <c r="J117">
        <f>SUMPRODUCT((TableMenDiv[Division]=TableMenDiv[[#This Row],[Division]])*(TableMenDiv[WHR Score]&gt;TableMenDiv[[#This Row],[WHR Score]]))+1</f>
        <v>2</v>
      </c>
    </row>
    <row r="118" spans="4:10" x14ac:dyDescent="0.25">
      <c r="D118" t="s">
        <v>73</v>
      </c>
      <c r="E118" t="s">
        <v>37</v>
      </c>
      <c r="F118">
        <v>23</v>
      </c>
      <c r="G118">
        <v>1849.9</v>
      </c>
      <c r="H118" s="17">
        <f>(TableMenDiv[[#This Row],[WHR Score]]-AVERAGE(TableMenDiv[WHR Score]))/STDEV(TableMenDiv[WHR Score])</f>
        <v>1.9972761859993955</v>
      </c>
      <c r="I118">
        <f>RANK(TableMenDiv[[#This Row],[WHR Score]],TableMenDiv[WHR Score],0)</f>
        <v>13</v>
      </c>
      <c r="J118">
        <f>SUMPRODUCT((TableMenDiv[Division]=TableMenDiv[[#This Row],[Division]])*(TableMenDiv[WHR Score]&gt;TableMenDiv[[#This Row],[WHR Score]]))+1</f>
        <v>3</v>
      </c>
    </row>
    <row r="119" spans="4:10" x14ac:dyDescent="0.25">
      <c r="D119" t="s">
        <v>67</v>
      </c>
      <c r="E119" t="s">
        <v>37</v>
      </c>
      <c r="F119">
        <v>16</v>
      </c>
      <c r="G119">
        <v>1732.4</v>
      </c>
      <c r="H119" s="17">
        <f>(TableMenDiv[[#This Row],[WHR Score]]-AVERAGE(TableMenDiv[WHR Score]))/STDEV(TableMenDiv[WHR Score])</f>
        <v>0.92278846489262623</v>
      </c>
      <c r="I119">
        <f>RANK(TableMenDiv[[#This Row],[WHR Score]],TableMenDiv[WHR Score],0)</f>
        <v>38</v>
      </c>
      <c r="J119">
        <f>SUMPRODUCT((TableMenDiv[Division]=TableMenDiv[[#This Row],[Division]])*(TableMenDiv[WHR Score]&gt;TableMenDiv[[#This Row],[WHR Score]]))+1</f>
        <v>4</v>
      </c>
    </row>
    <row r="120" spans="4:10" x14ac:dyDescent="0.25">
      <c r="D120" t="s">
        <v>86</v>
      </c>
      <c r="E120" t="s">
        <v>37</v>
      </c>
      <c r="F120">
        <v>19</v>
      </c>
      <c r="G120">
        <v>1729.1</v>
      </c>
      <c r="H120" s="17">
        <f>(TableMenDiv[[#This Row],[WHR Score]]-AVERAGE(TableMenDiv[WHR Score]))/STDEV(TableMenDiv[WHR Score])</f>
        <v>0.89261136293813659</v>
      </c>
      <c r="I120">
        <f>RANK(TableMenDiv[[#This Row],[WHR Score]],TableMenDiv[WHR Score],0)</f>
        <v>39</v>
      </c>
      <c r="J120">
        <f>SUMPRODUCT((TableMenDiv[Division]=TableMenDiv[[#This Row],[Division]])*(TableMenDiv[WHR Score]&gt;TableMenDiv[[#This Row],[WHR Score]]))+1</f>
        <v>5</v>
      </c>
    </row>
    <row r="121" spans="4:10" x14ac:dyDescent="0.25">
      <c r="D121" t="s">
        <v>178</v>
      </c>
      <c r="E121" t="s">
        <v>37</v>
      </c>
      <c r="F121">
        <v>25</v>
      </c>
      <c r="G121">
        <v>1706.3</v>
      </c>
      <c r="H121" s="17">
        <f>(TableMenDiv[[#This Row],[WHR Score]]-AVERAGE(TableMenDiv[WHR Score]))/STDEV(TableMenDiv[WHR Score])</f>
        <v>0.68411502216167452</v>
      </c>
      <c r="I121">
        <f>RANK(TableMenDiv[[#This Row],[WHR Score]],TableMenDiv[WHR Score],0)</f>
        <v>51</v>
      </c>
      <c r="J121">
        <f>SUMPRODUCT((TableMenDiv[Division]=TableMenDiv[[#This Row],[Division]])*(TableMenDiv[WHR Score]&gt;TableMenDiv[[#This Row],[WHR Score]]))+1</f>
        <v>6</v>
      </c>
    </row>
    <row r="122" spans="4:10" x14ac:dyDescent="0.25">
      <c r="D122" t="s">
        <v>179</v>
      </c>
      <c r="E122" t="s">
        <v>37</v>
      </c>
      <c r="F122">
        <v>18</v>
      </c>
      <c r="G122">
        <v>1686.9</v>
      </c>
      <c r="H122" s="17">
        <f>(TableMenDiv[[#This Row],[WHR Score]]-AVERAGE(TableMenDiv[WHR Score]))/STDEV(TableMenDiv[WHR Score])</f>
        <v>0.50671024097468575</v>
      </c>
      <c r="I122">
        <f>RANK(TableMenDiv[[#This Row],[WHR Score]],TableMenDiv[WHR Score],0)</f>
        <v>58</v>
      </c>
      <c r="J122">
        <f>SUMPRODUCT((TableMenDiv[Division]=TableMenDiv[[#This Row],[Division]])*(TableMenDiv[WHR Score]&gt;TableMenDiv[[#This Row],[WHR Score]]))+1</f>
        <v>7</v>
      </c>
    </row>
    <row r="123" spans="4:10" x14ac:dyDescent="0.25">
      <c r="D123" t="s">
        <v>180</v>
      </c>
      <c r="E123" t="s">
        <v>37</v>
      </c>
      <c r="F123">
        <v>17</v>
      </c>
      <c r="G123">
        <v>1685.1</v>
      </c>
      <c r="H123" s="17">
        <f>(TableMenDiv[[#This Row],[WHR Score]]-AVERAGE(TableMenDiv[WHR Score]))/STDEV(TableMenDiv[WHR Score])</f>
        <v>0.4902500035449634</v>
      </c>
      <c r="I123">
        <f>RANK(TableMenDiv[[#This Row],[WHR Score]],TableMenDiv[WHR Score],0)</f>
        <v>60</v>
      </c>
      <c r="J123">
        <f>SUMPRODUCT((TableMenDiv[Division]=TableMenDiv[[#This Row],[Division]])*(TableMenDiv[WHR Score]&gt;TableMenDiv[[#This Row],[WHR Score]]))+1</f>
        <v>8</v>
      </c>
    </row>
    <row r="124" spans="4:10" x14ac:dyDescent="0.25">
      <c r="D124" t="s">
        <v>181</v>
      </c>
      <c r="E124" t="s">
        <v>37</v>
      </c>
      <c r="F124">
        <v>20</v>
      </c>
      <c r="G124">
        <v>1678.3</v>
      </c>
      <c r="H124" s="17">
        <f>(TableMenDiv[[#This Row],[WHR Score]]-AVERAGE(TableMenDiv[WHR Score]))/STDEV(TableMenDiv[WHR Score])</f>
        <v>0.42806688436601886</v>
      </c>
      <c r="I124">
        <f>RANK(TableMenDiv[[#This Row],[WHR Score]],TableMenDiv[WHR Score],0)</f>
        <v>62</v>
      </c>
      <c r="J124">
        <f>SUMPRODUCT((TableMenDiv[Division]=TableMenDiv[[#This Row],[Division]])*(TableMenDiv[WHR Score]&gt;TableMenDiv[[#This Row],[WHR Score]]))+1</f>
        <v>9</v>
      </c>
    </row>
    <row r="125" spans="4:10" x14ac:dyDescent="0.25">
      <c r="D125" t="s">
        <v>182</v>
      </c>
      <c r="E125" t="s">
        <v>37</v>
      </c>
      <c r="F125">
        <v>21</v>
      </c>
      <c r="G125">
        <v>1675.3</v>
      </c>
      <c r="H125" s="17">
        <f>(TableMenDiv[[#This Row],[WHR Score]]-AVERAGE(TableMenDiv[WHR Score]))/STDEV(TableMenDiv[WHR Score])</f>
        <v>0.4006331553164843</v>
      </c>
      <c r="I125">
        <f>RANK(TableMenDiv[[#This Row],[WHR Score]],TableMenDiv[WHR Score],0)</f>
        <v>63</v>
      </c>
      <c r="J125">
        <f>SUMPRODUCT((TableMenDiv[Division]=TableMenDiv[[#This Row],[Division]])*(TableMenDiv[WHR Score]&gt;TableMenDiv[[#This Row],[WHR Score]]))+1</f>
        <v>10</v>
      </c>
    </row>
    <row r="126" spans="4:10" x14ac:dyDescent="0.25">
      <c r="D126" t="s">
        <v>183</v>
      </c>
      <c r="E126" t="s">
        <v>37</v>
      </c>
      <c r="F126">
        <v>33</v>
      </c>
      <c r="G126">
        <v>1671.5</v>
      </c>
      <c r="H126" s="17">
        <f>(TableMenDiv[[#This Row],[WHR Score]]-AVERAGE(TableMenDiv[WHR Score]))/STDEV(TableMenDiv[WHR Score])</f>
        <v>0.36588376518707433</v>
      </c>
      <c r="I126">
        <f>RANK(TableMenDiv[[#This Row],[WHR Score]],TableMenDiv[WHR Score],0)</f>
        <v>64</v>
      </c>
      <c r="J126">
        <f>SUMPRODUCT((TableMenDiv[Division]=TableMenDiv[[#This Row],[Division]])*(TableMenDiv[WHR Score]&gt;TableMenDiv[[#This Row],[WHR Score]]))+1</f>
        <v>11</v>
      </c>
    </row>
    <row r="127" spans="4:10" x14ac:dyDescent="0.25">
      <c r="D127" t="s">
        <v>184</v>
      </c>
      <c r="E127" t="s">
        <v>37</v>
      </c>
      <c r="F127">
        <v>19</v>
      </c>
      <c r="G127">
        <v>1646.8</v>
      </c>
      <c r="H127" s="17">
        <f>(TableMenDiv[[#This Row],[WHR Score]]-AVERAGE(TableMenDiv[WHR Score]))/STDEV(TableMenDiv[WHR Score])</f>
        <v>0.14001272934590625</v>
      </c>
      <c r="I127">
        <f>RANK(TableMenDiv[[#This Row],[WHR Score]],TableMenDiv[WHR Score],0)</f>
        <v>81</v>
      </c>
      <c r="J127">
        <f>SUMPRODUCT((TableMenDiv[Division]=TableMenDiv[[#This Row],[Division]])*(TableMenDiv[WHR Score]&gt;TableMenDiv[[#This Row],[WHR Score]]))+1</f>
        <v>12</v>
      </c>
    </row>
    <row r="128" spans="4:10" x14ac:dyDescent="0.25">
      <c r="D128" t="s">
        <v>185</v>
      </c>
      <c r="E128" t="s">
        <v>37</v>
      </c>
      <c r="F128">
        <v>32</v>
      </c>
      <c r="G128">
        <v>1631.8</v>
      </c>
      <c r="H128" s="17">
        <f>(TableMenDiv[[#This Row],[WHR Score]]-AVERAGE(TableMenDiv[WHR Score]))/STDEV(TableMenDiv[WHR Score])</f>
        <v>2.8440840982335877E-3</v>
      </c>
      <c r="I128">
        <f>RANK(TableMenDiv[[#This Row],[WHR Score]],TableMenDiv[WHR Score],0)</f>
        <v>91</v>
      </c>
      <c r="J128">
        <f>SUMPRODUCT((TableMenDiv[Division]=TableMenDiv[[#This Row],[Division]])*(TableMenDiv[WHR Score]&gt;TableMenDiv[[#This Row],[WHR Score]]))+1</f>
        <v>13</v>
      </c>
    </row>
    <row r="129" spans="4:10" x14ac:dyDescent="0.25">
      <c r="D129" t="s">
        <v>186</v>
      </c>
      <c r="E129" t="s">
        <v>37</v>
      </c>
      <c r="F129">
        <v>37</v>
      </c>
      <c r="G129">
        <v>1625.6</v>
      </c>
      <c r="H129" s="17">
        <f>(TableMenDiv[[#This Row],[WHR Score]]-AVERAGE(TableMenDiv[WHR Score]))/STDEV(TableMenDiv[WHR Score])</f>
        <v>-5.3852289270804862E-2</v>
      </c>
      <c r="I129">
        <f>RANK(TableMenDiv[[#This Row],[WHR Score]],TableMenDiv[WHR Score],0)</f>
        <v>95</v>
      </c>
      <c r="J129">
        <f>SUMPRODUCT((TableMenDiv[Division]=TableMenDiv[[#This Row],[Division]])*(TableMenDiv[WHR Score]&gt;TableMenDiv[[#This Row],[WHR Score]]))+1</f>
        <v>14</v>
      </c>
    </row>
    <row r="130" spans="4:10" x14ac:dyDescent="0.25">
      <c r="D130" t="s">
        <v>187</v>
      </c>
      <c r="E130" t="s">
        <v>37</v>
      </c>
      <c r="F130">
        <v>22</v>
      </c>
      <c r="G130">
        <v>1623</v>
      </c>
      <c r="H130" s="17">
        <f>(TableMenDiv[[#This Row],[WHR Score]]-AVERAGE(TableMenDiv[WHR Score]))/STDEV(TableMenDiv[WHR Score])</f>
        <v>-7.7628187780400634E-2</v>
      </c>
      <c r="I130">
        <f>RANK(TableMenDiv[[#This Row],[WHR Score]],TableMenDiv[WHR Score],0)</f>
        <v>98</v>
      </c>
      <c r="J130">
        <f>SUMPRODUCT((TableMenDiv[Division]=TableMenDiv[[#This Row],[Division]])*(TableMenDiv[WHR Score]&gt;TableMenDiv[[#This Row],[WHR Score]]))+1</f>
        <v>15</v>
      </c>
    </row>
    <row r="131" spans="4:10" x14ac:dyDescent="0.25">
      <c r="D131" t="s">
        <v>188</v>
      </c>
      <c r="E131" t="s">
        <v>37</v>
      </c>
      <c r="F131">
        <v>19</v>
      </c>
      <c r="G131">
        <v>1620.4</v>
      </c>
      <c r="H131" s="17">
        <f>(TableMenDiv[[#This Row],[WHR Score]]-AVERAGE(TableMenDiv[WHR Score]))/STDEV(TableMenDiv[WHR Score])</f>
        <v>-0.10140408628999639</v>
      </c>
      <c r="I131">
        <f>RANK(TableMenDiv[[#This Row],[WHR Score]],TableMenDiv[WHR Score],0)</f>
        <v>99</v>
      </c>
      <c r="J131">
        <f>SUMPRODUCT((TableMenDiv[Division]=TableMenDiv[[#This Row],[Division]])*(TableMenDiv[WHR Score]&gt;TableMenDiv[[#This Row],[WHR Score]]))+1</f>
        <v>16</v>
      </c>
    </row>
    <row r="132" spans="4:10" x14ac:dyDescent="0.25">
      <c r="D132" t="s">
        <v>189</v>
      </c>
      <c r="E132" t="s">
        <v>37</v>
      </c>
      <c r="F132">
        <v>13</v>
      </c>
      <c r="G132">
        <v>1619.5</v>
      </c>
      <c r="H132" s="17">
        <f>(TableMenDiv[[#This Row],[WHR Score]]-AVERAGE(TableMenDiv[WHR Score]))/STDEV(TableMenDiv[WHR Score])</f>
        <v>-0.10963420500485759</v>
      </c>
      <c r="I132">
        <f>RANK(TableMenDiv[[#This Row],[WHR Score]],TableMenDiv[WHR Score],0)</f>
        <v>100</v>
      </c>
      <c r="J132">
        <f>SUMPRODUCT((TableMenDiv[Division]=TableMenDiv[[#This Row],[Division]])*(TableMenDiv[WHR Score]&gt;TableMenDiv[[#This Row],[WHR Score]]))+1</f>
        <v>17</v>
      </c>
    </row>
    <row r="133" spans="4:10" x14ac:dyDescent="0.25">
      <c r="D133" t="s">
        <v>190</v>
      </c>
      <c r="E133" t="s">
        <v>37</v>
      </c>
      <c r="F133">
        <v>25</v>
      </c>
      <c r="G133">
        <v>1618</v>
      </c>
      <c r="H133" s="17">
        <f>(TableMenDiv[[#This Row],[WHR Score]]-AVERAGE(TableMenDiv[WHR Score]))/STDEV(TableMenDiv[WHR Score])</f>
        <v>-0.12335106952962485</v>
      </c>
      <c r="I133">
        <f>RANK(TableMenDiv[[#This Row],[WHR Score]],TableMenDiv[WHR Score],0)</f>
        <v>102</v>
      </c>
      <c r="J133">
        <f>SUMPRODUCT((TableMenDiv[Division]=TableMenDiv[[#This Row],[Division]])*(TableMenDiv[WHR Score]&gt;TableMenDiv[[#This Row],[WHR Score]]))+1</f>
        <v>18</v>
      </c>
    </row>
    <row r="134" spans="4:10" x14ac:dyDescent="0.25">
      <c r="D134" t="s">
        <v>191</v>
      </c>
      <c r="E134" t="s">
        <v>37</v>
      </c>
      <c r="F134">
        <v>17</v>
      </c>
      <c r="G134">
        <v>1617.3</v>
      </c>
      <c r="H134" s="17">
        <f>(TableMenDiv[[#This Row],[WHR Score]]-AVERAGE(TableMenDiv[WHR Score]))/STDEV(TableMenDiv[WHR Score])</f>
        <v>-0.12975227297451666</v>
      </c>
      <c r="I134">
        <f>RANK(TableMenDiv[[#This Row],[WHR Score]],TableMenDiv[WHR Score],0)</f>
        <v>104</v>
      </c>
      <c r="J134">
        <f>SUMPRODUCT((TableMenDiv[Division]=TableMenDiv[[#This Row],[Division]])*(TableMenDiv[WHR Score]&gt;TableMenDiv[[#This Row],[WHR Score]]))+1</f>
        <v>19</v>
      </c>
    </row>
    <row r="135" spans="4:10" x14ac:dyDescent="0.25">
      <c r="D135" t="s">
        <v>192</v>
      </c>
      <c r="E135" t="s">
        <v>37</v>
      </c>
      <c r="F135">
        <v>27</v>
      </c>
      <c r="G135">
        <v>1614.2</v>
      </c>
      <c r="H135" s="17">
        <f>(TableMenDiv[[#This Row],[WHR Score]]-AVERAGE(TableMenDiv[WHR Score]))/STDEV(TableMenDiv[WHR Score])</f>
        <v>-0.15810045965903485</v>
      </c>
      <c r="I135">
        <f>RANK(TableMenDiv[[#This Row],[WHR Score]],TableMenDiv[WHR Score],0)</f>
        <v>106</v>
      </c>
      <c r="J135">
        <f>SUMPRODUCT((TableMenDiv[Division]=TableMenDiv[[#This Row],[Division]])*(TableMenDiv[WHR Score]&gt;TableMenDiv[[#This Row],[WHR Score]]))+1</f>
        <v>20</v>
      </c>
    </row>
    <row r="136" spans="4:10" x14ac:dyDescent="0.25">
      <c r="D136" t="s">
        <v>193</v>
      </c>
      <c r="E136" t="s">
        <v>37</v>
      </c>
      <c r="F136">
        <v>25</v>
      </c>
      <c r="G136">
        <v>1611.8</v>
      </c>
      <c r="H136" s="17">
        <f>(TableMenDiv[[#This Row],[WHR Score]]-AVERAGE(TableMenDiv[WHR Score]))/STDEV(TableMenDiv[WHR Score])</f>
        <v>-0.18004744289866331</v>
      </c>
      <c r="I136">
        <f>RANK(TableMenDiv[[#This Row],[WHR Score]],TableMenDiv[WHR Score],0)</f>
        <v>110</v>
      </c>
      <c r="J136">
        <f>SUMPRODUCT((TableMenDiv[Division]=TableMenDiv[[#This Row],[Division]])*(TableMenDiv[WHR Score]&gt;TableMenDiv[[#This Row],[WHR Score]]))+1</f>
        <v>21</v>
      </c>
    </row>
    <row r="137" spans="4:10" x14ac:dyDescent="0.25">
      <c r="D137" t="s">
        <v>194</v>
      </c>
      <c r="E137" t="s">
        <v>37</v>
      </c>
      <c r="F137">
        <v>25</v>
      </c>
      <c r="G137">
        <v>1610.6</v>
      </c>
      <c r="H137" s="17">
        <f>(TableMenDiv[[#This Row],[WHR Score]]-AVERAGE(TableMenDiv[WHR Score]))/STDEV(TableMenDiv[WHR Score])</f>
        <v>-0.19102093451847754</v>
      </c>
      <c r="I137">
        <f>RANK(TableMenDiv[[#This Row],[WHR Score]],TableMenDiv[WHR Score],0)</f>
        <v>112</v>
      </c>
      <c r="J137">
        <f>SUMPRODUCT((TableMenDiv[Division]=TableMenDiv[[#This Row],[Division]])*(TableMenDiv[WHR Score]&gt;TableMenDiv[[#This Row],[WHR Score]]))+1</f>
        <v>22</v>
      </c>
    </row>
    <row r="138" spans="4:10" x14ac:dyDescent="0.25">
      <c r="D138" t="s">
        <v>195</v>
      </c>
      <c r="E138" t="s">
        <v>37</v>
      </c>
      <c r="F138">
        <v>22</v>
      </c>
      <c r="G138">
        <v>1599.8</v>
      </c>
      <c r="H138" s="17">
        <f>(TableMenDiv[[#This Row],[WHR Score]]-AVERAGE(TableMenDiv[WHR Score]))/STDEV(TableMenDiv[WHR Score])</f>
        <v>-0.28978235909680145</v>
      </c>
      <c r="I138">
        <f>RANK(TableMenDiv[[#This Row],[WHR Score]],TableMenDiv[WHR Score],0)</f>
        <v>125</v>
      </c>
      <c r="J138">
        <f>SUMPRODUCT((TableMenDiv[Division]=TableMenDiv[[#This Row],[Division]])*(TableMenDiv[WHR Score]&gt;TableMenDiv[[#This Row],[WHR Score]]))+1</f>
        <v>23</v>
      </c>
    </row>
    <row r="139" spans="4:10" x14ac:dyDescent="0.25">
      <c r="D139" t="s">
        <v>196</v>
      </c>
      <c r="E139" t="s">
        <v>37</v>
      </c>
      <c r="F139">
        <v>22</v>
      </c>
      <c r="G139">
        <v>1589</v>
      </c>
      <c r="H139" s="17">
        <f>(TableMenDiv[[#This Row],[WHR Score]]-AVERAGE(TableMenDiv[WHR Score]))/STDEV(TableMenDiv[WHR Score])</f>
        <v>-0.38854378367512532</v>
      </c>
      <c r="I139">
        <f>RANK(TableMenDiv[[#This Row],[WHR Score]],TableMenDiv[WHR Score],0)</f>
        <v>133</v>
      </c>
      <c r="J139">
        <f>SUMPRODUCT((TableMenDiv[Division]=TableMenDiv[[#This Row],[Division]])*(TableMenDiv[WHR Score]&gt;TableMenDiv[[#This Row],[WHR Score]]))+1</f>
        <v>24</v>
      </c>
    </row>
    <row r="140" spans="4:10" x14ac:dyDescent="0.25">
      <c r="D140" t="s">
        <v>197</v>
      </c>
      <c r="E140" t="s">
        <v>37</v>
      </c>
      <c r="F140">
        <v>18</v>
      </c>
      <c r="G140">
        <v>1585.7</v>
      </c>
      <c r="H140" s="17">
        <f>(TableMenDiv[[#This Row],[WHR Score]]-AVERAGE(TableMenDiv[WHR Score]))/STDEV(TableMenDiv[WHR Score])</f>
        <v>-0.4187208856296129</v>
      </c>
      <c r="I140">
        <f>RANK(TableMenDiv[[#This Row],[WHR Score]],TableMenDiv[WHR Score],0)</f>
        <v>137</v>
      </c>
      <c r="J140">
        <f>SUMPRODUCT((TableMenDiv[Division]=TableMenDiv[[#This Row],[Division]])*(TableMenDiv[WHR Score]&gt;TableMenDiv[[#This Row],[WHR Score]]))+1</f>
        <v>25</v>
      </c>
    </row>
    <row r="141" spans="4:10" x14ac:dyDescent="0.25">
      <c r="D141" t="s">
        <v>198</v>
      </c>
      <c r="E141" t="s">
        <v>37</v>
      </c>
      <c r="F141">
        <v>15</v>
      </c>
      <c r="G141">
        <v>1583.3</v>
      </c>
      <c r="H141" s="17">
        <f>(TableMenDiv[[#This Row],[WHR Score]]-AVERAGE(TableMenDiv[WHR Score]))/STDEV(TableMenDiv[WHR Score])</f>
        <v>-0.44066786886924136</v>
      </c>
      <c r="I141">
        <f>RANK(TableMenDiv[[#This Row],[WHR Score]],TableMenDiv[WHR Score],0)</f>
        <v>139</v>
      </c>
      <c r="J141">
        <f>SUMPRODUCT((TableMenDiv[Division]=TableMenDiv[[#This Row],[Division]])*(TableMenDiv[WHR Score]&gt;TableMenDiv[[#This Row],[WHR Score]]))+1</f>
        <v>26</v>
      </c>
    </row>
    <row r="142" spans="4:10" x14ac:dyDescent="0.25">
      <c r="D142" t="s">
        <v>199</v>
      </c>
      <c r="E142" t="s">
        <v>37</v>
      </c>
      <c r="F142">
        <v>20</v>
      </c>
      <c r="G142">
        <v>1581.9</v>
      </c>
      <c r="H142" s="17">
        <f>(TableMenDiv[[#This Row],[WHR Score]]-AVERAGE(TableMenDiv[WHR Score]))/STDEV(TableMenDiv[WHR Score])</f>
        <v>-0.45347027575902293</v>
      </c>
      <c r="I142">
        <f>RANK(TableMenDiv[[#This Row],[WHR Score]],TableMenDiv[WHR Score],0)</f>
        <v>142</v>
      </c>
      <c r="J142">
        <f>SUMPRODUCT((TableMenDiv[Division]=TableMenDiv[[#This Row],[Division]])*(TableMenDiv[WHR Score]&gt;TableMenDiv[[#This Row],[WHR Score]]))+1</f>
        <v>27</v>
      </c>
    </row>
    <row r="143" spans="4:10" x14ac:dyDescent="0.25">
      <c r="D143" t="s">
        <v>200</v>
      </c>
      <c r="E143" t="s">
        <v>37</v>
      </c>
      <c r="F143">
        <v>14</v>
      </c>
      <c r="G143">
        <v>1581.6</v>
      </c>
      <c r="H143" s="17">
        <f>(TableMenDiv[[#This Row],[WHR Score]]-AVERAGE(TableMenDiv[WHR Score]))/STDEV(TableMenDiv[WHR Score])</f>
        <v>-0.45621364866397801</v>
      </c>
      <c r="I143">
        <f>RANK(TableMenDiv[[#This Row],[WHR Score]],TableMenDiv[WHR Score],0)</f>
        <v>144</v>
      </c>
      <c r="J143">
        <f>SUMPRODUCT((TableMenDiv[Division]=TableMenDiv[[#This Row],[Division]])*(TableMenDiv[WHR Score]&gt;TableMenDiv[[#This Row],[WHR Score]]))+1</f>
        <v>28</v>
      </c>
    </row>
    <row r="144" spans="4:10" x14ac:dyDescent="0.25">
      <c r="D144" t="s">
        <v>201</v>
      </c>
      <c r="E144" t="s">
        <v>37</v>
      </c>
      <c r="F144">
        <v>17</v>
      </c>
      <c r="G144">
        <v>1581.3</v>
      </c>
      <c r="H144" s="17">
        <f>(TableMenDiv[[#This Row],[WHR Score]]-AVERAGE(TableMenDiv[WHR Score]))/STDEV(TableMenDiv[WHR Score])</f>
        <v>-0.45895702156893109</v>
      </c>
      <c r="I144">
        <f>RANK(TableMenDiv[[#This Row],[WHR Score]],TableMenDiv[WHR Score],0)</f>
        <v>145</v>
      </c>
      <c r="J144">
        <f>SUMPRODUCT((TableMenDiv[Division]=TableMenDiv[[#This Row],[Division]])*(TableMenDiv[WHR Score]&gt;TableMenDiv[[#This Row],[WHR Score]]))+1</f>
        <v>29</v>
      </c>
    </row>
    <row r="145" spans="4:10" x14ac:dyDescent="0.25">
      <c r="D145" t="s">
        <v>202</v>
      </c>
      <c r="E145" t="s">
        <v>37</v>
      </c>
      <c r="F145">
        <v>22</v>
      </c>
      <c r="G145">
        <v>1575.1</v>
      </c>
      <c r="H145" s="17">
        <f>(TableMenDiv[[#This Row],[WHR Score]]-AVERAGE(TableMenDiv[WHR Score]))/STDEV(TableMenDiv[WHR Score])</f>
        <v>-0.51565339493796947</v>
      </c>
      <c r="I145">
        <f>RANK(TableMenDiv[[#This Row],[WHR Score]],TableMenDiv[WHR Score],0)</f>
        <v>151</v>
      </c>
      <c r="J145">
        <f>SUMPRODUCT((TableMenDiv[Division]=TableMenDiv[[#This Row],[Division]])*(TableMenDiv[WHR Score]&gt;TableMenDiv[[#This Row],[WHR Score]]))+1</f>
        <v>30</v>
      </c>
    </row>
    <row r="146" spans="4:10" x14ac:dyDescent="0.25">
      <c r="D146" t="s">
        <v>32</v>
      </c>
      <c r="E146" t="s">
        <v>33</v>
      </c>
      <c r="F146">
        <v>24</v>
      </c>
      <c r="G146">
        <v>1943.1</v>
      </c>
      <c r="H146" s="17">
        <f>(TableMenDiv[[#This Row],[WHR Score]]-AVERAGE(TableMenDiv[WHR Score]))/STDEV(TableMenDiv[WHR Score])</f>
        <v>2.8495507018049331</v>
      </c>
      <c r="I146">
        <f>RANK(TableMenDiv[[#This Row],[WHR Score]],TableMenDiv[WHR Score],0)</f>
        <v>3</v>
      </c>
      <c r="J146">
        <f>SUMPRODUCT((TableMenDiv[Division]=TableMenDiv[[#This Row],[Division]])*(TableMenDiv[WHR Score]&gt;TableMenDiv[[#This Row],[WHR Score]]))+1</f>
        <v>1</v>
      </c>
    </row>
    <row r="147" spans="4:10" x14ac:dyDescent="0.25">
      <c r="D147" t="s">
        <v>44</v>
      </c>
      <c r="E147" t="s">
        <v>33</v>
      </c>
      <c r="F147">
        <v>19</v>
      </c>
      <c r="G147">
        <v>1867.9</v>
      </c>
      <c r="H147" s="17">
        <f>(TableMenDiv[[#This Row],[WHR Score]]-AVERAGE(TableMenDiv[WHR Score]))/STDEV(TableMenDiv[WHR Score])</f>
        <v>2.1618785602966026</v>
      </c>
      <c r="I147">
        <f>RANK(TableMenDiv[[#This Row],[WHR Score]],TableMenDiv[WHR Score],0)</f>
        <v>10</v>
      </c>
      <c r="J147">
        <f>SUMPRODUCT((TableMenDiv[Division]=TableMenDiv[[#This Row],[Division]])*(TableMenDiv[WHR Score]&gt;TableMenDiv[[#This Row],[WHR Score]]))+1</f>
        <v>2</v>
      </c>
    </row>
    <row r="148" spans="4:10" x14ac:dyDescent="0.25">
      <c r="D148" t="s">
        <v>84</v>
      </c>
      <c r="E148" t="s">
        <v>33</v>
      </c>
      <c r="F148">
        <v>10</v>
      </c>
      <c r="G148">
        <v>1788.7</v>
      </c>
      <c r="H148" s="17">
        <f>(TableMenDiv[[#This Row],[WHR Score]]-AVERAGE(TableMenDiv[WHR Score]))/STDEV(TableMenDiv[WHR Score])</f>
        <v>1.4376281133888906</v>
      </c>
      <c r="I148">
        <f>RANK(TableMenDiv[[#This Row],[WHR Score]],TableMenDiv[WHR Score],0)</f>
        <v>21</v>
      </c>
      <c r="J148">
        <f>SUMPRODUCT((TableMenDiv[Division]=TableMenDiv[[#This Row],[Division]])*(TableMenDiv[WHR Score]&gt;TableMenDiv[[#This Row],[WHR Score]]))+1</f>
        <v>3</v>
      </c>
    </row>
    <row r="149" spans="4:10" x14ac:dyDescent="0.25">
      <c r="D149" t="s">
        <v>52</v>
      </c>
      <c r="E149" t="s">
        <v>33</v>
      </c>
      <c r="F149">
        <v>20</v>
      </c>
      <c r="G149">
        <v>1764.9</v>
      </c>
      <c r="H149" s="17">
        <f>(TableMenDiv[[#This Row],[WHR Score]]-AVERAGE(TableMenDiv[WHR Score]))/STDEV(TableMenDiv[WHR Score])</f>
        <v>1.2199871962625837</v>
      </c>
      <c r="I149">
        <f>RANK(TableMenDiv[[#This Row],[WHR Score]],TableMenDiv[WHR Score],0)</f>
        <v>30</v>
      </c>
      <c r="J149">
        <f>SUMPRODUCT((TableMenDiv[Division]=TableMenDiv[[#This Row],[Division]])*(TableMenDiv[WHR Score]&gt;TableMenDiv[[#This Row],[WHR Score]]))+1</f>
        <v>4</v>
      </c>
    </row>
    <row r="150" spans="4:10" x14ac:dyDescent="0.25">
      <c r="D150" t="s">
        <v>66</v>
      </c>
      <c r="E150" t="s">
        <v>33</v>
      </c>
      <c r="F150">
        <v>20</v>
      </c>
      <c r="G150">
        <v>1761.4</v>
      </c>
      <c r="H150" s="17">
        <f>(TableMenDiv[[#This Row],[WHR Score]]-AVERAGE(TableMenDiv[WHR Score]))/STDEV(TableMenDiv[WHR Score])</f>
        <v>1.1879811790381267</v>
      </c>
      <c r="I150">
        <f>RANK(TableMenDiv[[#This Row],[WHR Score]],TableMenDiv[WHR Score],0)</f>
        <v>31</v>
      </c>
      <c r="J150">
        <f>SUMPRODUCT((TableMenDiv[Division]=TableMenDiv[[#This Row],[Division]])*(TableMenDiv[WHR Score]&gt;TableMenDiv[[#This Row],[WHR Score]]))+1</f>
        <v>5</v>
      </c>
    </row>
    <row r="151" spans="4:10" x14ac:dyDescent="0.25">
      <c r="D151" t="s">
        <v>64</v>
      </c>
      <c r="E151" t="s">
        <v>33</v>
      </c>
      <c r="F151">
        <v>24</v>
      </c>
      <c r="G151">
        <v>1716.3</v>
      </c>
      <c r="H151" s="17">
        <f>(TableMenDiv[[#This Row],[WHR Score]]-AVERAGE(TableMenDiv[WHR Score]))/STDEV(TableMenDiv[WHR Score])</f>
        <v>0.77556078566012299</v>
      </c>
      <c r="I151">
        <f>RANK(TableMenDiv[[#This Row],[WHR Score]],TableMenDiv[WHR Score],0)</f>
        <v>46</v>
      </c>
      <c r="J151">
        <f>SUMPRODUCT((TableMenDiv[Division]=TableMenDiv[[#This Row],[Division]])*(TableMenDiv[WHR Score]&gt;TableMenDiv[[#This Row],[WHR Score]]))+1</f>
        <v>6</v>
      </c>
    </row>
    <row r="152" spans="4:10" x14ac:dyDescent="0.25">
      <c r="D152" t="s">
        <v>203</v>
      </c>
      <c r="E152" t="s">
        <v>33</v>
      </c>
      <c r="F152">
        <v>25</v>
      </c>
      <c r="G152">
        <v>1712</v>
      </c>
      <c r="H152" s="17">
        <f>(TableMenDiv[[#This Row],[WHR Score]]-AVERAGE(TableMenDiv[WHR Score]))/STDEV(TableMenDiv[WHR Score])</f>
        <v>0.73623910735579057</v>
      </c>
      <c r="I152">
        <f>RANK(TableMenDiv[[#This Row],[WHR Score]],TableMenDiv[WHR Score],0)</f>
        <v>47</v>
      </c>
      <c r="J152">
        <f>SUMPRODUCT((TableMenDiv[Division]=TableMenDiv[[#This Row],[Division]])*(TableMenDiv[WHR Score]&gt;TableMenDiv[[#This Row],[WHR Score]]))+1</f>
        <v>7</v>
      </c>
    </row>
    <row r="153" spans="4:10" x14ac:dyDescent="0.25">
      <c r="D153" t="s">
        <v>204</v>
      </c>
      <c r="E153" t="s">
        <v>33</v>
      </c>
      <c r="F153">
        <v>29</v>
      </c>
      <c r="G153">
        <v>1671.2</v>
      </c>
      <c r="H153" s="17">
        <f>(TableMenDiv[[#This Row],[WHR Score]]-AVERAGE(TableMenDiv[WHR Score]))/STDEV(TableMenDiv[WHR Score])</f>
        <v>0.3631403922821213</v>
      </c>
      <c r="I153">
        <f>RANK(TableMenDiv[[#This Row],[WHR Score]],TableMenDiv[WHR Score],0)</f>
        <v>65</v>
      </c>
      <c r="J153">
        <f>SUMPRODUCT((TableMenDiv[Division]=TableMenDiv[[#This Row],[Division]])*(TableMenDiv[WHR Score]&gt;TableMenDiv[[#This Row],[WHR Score]]))+1</f>
        <v>8</v>
      </c>
    </row>
    <row r="154" spans="4:10" x14ac:dyDescent="0.25">
      <c r="D154" t="s">
        <v>63</v>
      </c>
      <c r="E154" t="s">
        <v>33</v>
      </c>
      <c r="F154">
        <v>13</v>
      </c>
      <c r="G154">
        <v>1669.6</v>
      </c>
      <c r="H154" s="17">
        <f>(TableMenDiv[[#This Row],[WHR Score]]-AVERAGE(TableMenDiv[WHR Score]))/STDEV(TableMenDiv[WHR Score])</f>
        <v>0.34850907012236831</v>
      </c>
      <c r="I154">
        <f>RANK(TableMenDiv[[#This Row],[WHR Score]],TableMenDiv[WHR Score],0)</f>
        <v>66</v>
      </c>
      <c r="J154">
        <f>SUMPRODUCT((TableMenDiv[Division]=TableMenDiv[[#This Row],[Division]])*(TableMenDiv[WHR Score]&gt;TableMenDiv[[#This Row],[WHR Score]]))+1</f>
        <v>9</v>
      </c>
    </row>
    <row r="155" spans="4:10" x14ac:dyDescent="0.25">
      <c r="D155" t="s">
        <v>205</v>
      </c>
      <c r="E155" t="s">
        <v>33</v>
      </c>
      <c r="F155">
        <v>21</v>
      </c>
      <c r="G155">
        <v>1650.9</v>
      </c>
      <c r="H155" s="17">
        <f>(TableMenDiv[[#This Row],[WHR Score]]-AVERAGE(TableMenDiv[WHR Score]))/STDEV(TableMenDiv[WHR Score])</f>
        <v>0.17750549238027136</v>
      </c>
      <c r="I155">
        <f>RANK(TableMenDiv[[#This Row],[WHR Score]],TableMenDiv[WHR Score],0)</f>
        <v>75</v>
      </c>
      <c r="J155">
        <f>SUMPRODUCT((TableMenDiv[Division]=TableMenDiv[[#This Row],[Division]])*(TableMenDiv[WHR Score]&gt;TableMenDiv[[#This Row],[WHR Score]]))+1</f>
        <v>10</v>
      </c>
    </row>
    <row r="156" spans="4:10" x14ac:dyDescent="0.25">
      <c r="D156" t="s">
        <v>206</v>
      </c>
      <c r="E156" t="s">
        <v>33</v>
      </c>
      <c r="F156">
        <v>18</v>
      </c>
      <c r="G156">
        <v>1645</v>
      </c>
      <c r="H156" s="17">
        <f>(TableMenDiv[[#This Row],[WHR Score]]-AVERAGE(TableMenDiv[WHR Score]))/STDEV(TableMenDiv[WHR Score])</f>
        <v>0.12355249191618595</v>
      </c>
      <c r="I156">
        <f>RANK(TableMenDiv[[#This Row],[WHR Score]],TableMenDiv[WHR Score],0)</f>
        <v>82</v>
      </c>
      <c r="J156">
        <f>SUMPRODUCT((TableMenDiv[Division]=TableMenDiv[[#This Row],[Division]])*(TableMenDiv[WHR Score]&gt;TableMenDiv[[#This Row],[WHR Score]]))+1</f>
        <v>11</v>
      </c>
    </row>
    <row r="157" spans="4:10" x14ac:dyDescent="0.25">
      <c r="D157" t="s">
        <v>207</v>
      </c>
      <c r="E157" t="s">
        <v>33</v>
      </c>
      <c r="F157">
        <v>19</v>
      </c>
      <c r="G157">
        <v>1639.9</v>
      </c>
      <c r="H157" s="17">
        <f>(TableMenDiv[[#This Row],[WHR Score]]-AVERAGE(TableMenDiv[WHR Score]))/STDEV(TableMenDiv[WHR Score])</f>
        <v>7.6915152531978073E-2</v>
      </c>
      <c r="I157">
        <f>RANK(TableMenDiv[[#This Row],[WHR Score]],TableMenDiv[WHR Score],0)</f>
        <v>85</v>
      </c>
      <c r="J157">
        <f>SUMPRODUCT((TableMenDiv[Division]=TableMenDiv[[#This Row],[Division]])*(TableMenDiv[WHR Score]&gt;TableMenDiv[[#This Row],[WHR Score]]))+1</f>
        <v>12</v>
      </c>
    </row>
    <row r="158" spans="4:10" x14ac:dyDescent="0.25">
      <c r="D158" t="s">
        <v>208</v>
      </c>
      <c r="E158" t="s">
        <v>33</v>
      </c>
      <c r="F158">
        <v>25</v>
      </c>
      <c r="G158">
        <v>1619</v>
      </c>
      <c r="H158" s="17">
        <f>(TableMenDiv[[#This Row],[WHR Score]]-AVERAGE(TableMenDiv[WHR Score]))/STDEV(TableMenDiv[WHR Score])</f>
        <v>-0.11420649317978</v>
      </c>
      <c r="I158">
        <f>RANK(TableMenDiv[[#This Row],[WHR Score]],TableMenDiv[WHR Score],0)</f>
        <v>101</v>
      </c>
      <c r="J158">
        <f>SUMPRODUCT((TableMenDiv[Division]=TableMenDiv[[#This Row],[Division]])*(TableMenDiv[WHR Score]&gt;TableMenDiv[[#This Row],[WHR Score]]))+1</f>
        <v>13</v>
      </c>
    </row>
    <row r="159" spans="4:10" x14ac:dyDescent="0.25">
      <c r="D159" t="s">
        <v>209</v>
      </c>
      <c r="E159" t="s">
        <v>33</v>
      </c>
      <c r="F159">
        <v>21</v>
      </c>
      <c r="G159">
        <v>1618</v>
      </c>
      <c r="H159" s="17">
        <f>(TableMenDiv[[#This Row],[WHR Score]]-AVERAGE(TableMenDiv[WHR Score]))/STDEV(TableMenDiv[WHR Score])</f>
        <v>-0.12335106952962485</v>
      </c>
      <c r="I159">
        <f>RANK(TableMenDiv[[#This Row],[WHR Score]],TableMenDiv[WHR Score],0)</f>
        <v>102</v>
      </c>
      <c r="J159">
        <f>SUMPRODUCT((TableMenDiv[Division]=TableMenDiv[[#This Row],[Division]])*(TableMenDiv[WHR Score]&gt;TableMenDiv[[#This Row],[WHR Score]]))+1</f>
        <v>14</v>
      </c>
    </row>
    <row r="160" spans="4:10" x14ac:dyDescent="0.25">
      <c r="D160" t="s">
        <v>210</v>
      </c>
      <c r="E160" t="s">
        <v>33</v>
      </c>
      <c r="F160">
        <v>25</v>
      </c>
      <c r="G160">
        <v>1612.3</v>
      </c>
      <c r="H160" s="17">
        <f>(TableMenDiv[[#This Row],[WHR Score]]-AVERAGE(TableMenDiv[WHR Score]))/STDEV(TableMenDiv[WHR Score])</f>
        <v>-0.17547515472374089</v>
      </c>
      <c r="I160">
        <f>RANK(TableMenDiv[[#This Row],[WHR Score]],TableMenDiv[WHR Score],0)</f>
        <v>108</v>
      </c>
      <c r="J160">
        <f>SUMPRODUCT((TableMenDiv[Division]=TableMenDiv[[#This Row],[Division]])*(TableMenDiv[WHR Score]&gt;TableMenDiv[[#This Row],[WHR Score]]))+1</f>
        <v>15</v>
      </c>
    </row>
    <row r="161" spans="4:10" x14ac:dyDescent="0.25">
      <c r="D161" t="s">
        <v>211</v>
      </c>
      <c r="E161" t="s">
        <v>33</v>
      </c>
      <c r="F161">
        <v>16</v>
      </c>
      <c r="G161">
        <v>1611.7</v>
      </c>
      <c r="H161" s="17">
        <f>(TableMenDiv[[#This Row],[WHR Score]]-AVERAGE(TableMenDiv[WHR Score]))/STDEV(TableMenDiv[WHR Score])</f>
        <v>-0.18096190053364697</v>
      </c>
      <c r="I161">
        <f>RANK(TableMenDiv[[#This Row],[WHR Score]],TableMenDiv[WHR Score],0)</f>
        <v>111</v>
      </c>
      <c r="J161">
        <f>SUMPRODUCT((TableMenDiv[Division]=TableMenDiv[[#This Row],[Division]])*(TableMenDiv[WHR Score]&gt;TableMenDiv[[#This Row],[WHR Score]]))+1</f>
        <v>16</v>
      </c>
    </row>
    <row r="162" spans="4:10" x14ac:dyDescent="0.25">
      <c r="D162" t="s">
        <v>212</v>
      </c>
      <c r="E162" t="s">
        <v>33</v>
      </c>
      <c r="F162">
        <v>15</v>
      </c>
      <c r="G162">
        <v>1608.5</v>
      </c>
      <c r="H162" s="17">
        <f>(TableMenDiv[[#This Row],[WHR Score]]-AVERAGE(TableMenDiv[WHR Score]))/STDEV(TableMenDiv[WHR Score])</f>
        <v>-0.21022454485315087</v>
      </c>
      <c r="I162">
        <f>RANK(TableMenDiv[[#This Row],[WHR Score]],TableMenDiv[WHR Score],0)</f>
        <v>114</v>
      </c>
      <c r="J162">
        <f>SUMPRODUCT((TableMenDiv[Division]=TableMenDiv[[#This Row],[Division]])*(TableMenDiv[WHR Score]&gt;TableMenDiv[[#This Row],[WHR Score]]))+1</f>
        <v>17</v>
      </c>
    </row>
    <row r="163" spans="4:10" x14ac:dyDescent="0.25">
      <c r="D163" t="s">
        <v>213</v>
      </c>
      <c r="E163" t="s">
        <v>33</v>
      </c>
      <c r="F163">
        <v>14</v>
      </c>
      <c r="G163">
        <v>1602.2</v>
      </c>
      <c r="H163" s="17">
        <f>(TableMenDiv[[#This Row],[WHR Score]]-AVERAGE(TableMenDiv[WHR Score]))/STDEV(TableMenDiv[WHR Score])</f>
        <v>-0.26783537585717299</v>
      </c>
      <c r="I163">
        <f>RANK(TableMenDiv[[#This Row],[WHR Score]],TableMenDiv[WHR Score],0)</f>
        <v>121</v>
      </c>
      <c r="J163">
        <f>SUMPRODUCT((TableMenDiv[Division]=TableMenDiv[[#This Row],[Division]])*(TableMenDiv[WHR Score]&gt;TableMenDiv[[#This Row],[WHR Score]]))+1</f>
        <v>18</v>
      </c>
    </row>
    <row r="164" spans="4:10" x14ac:dyDescent="0.25">
      <c r="D164" t="s">
        <v>214</v>
      </c>
      <c r="E164" t="s">
        <v>33</v>
      </c>
      <c r="F164">
        <v>11</v>
      </c>
      <c r="G164">
        <v>1601.6</v>
      </c>
      <c r="H164" s="17">
        <f>(TableMenDiv[[#This Row],[WHR Score]]-AVERAGE(TableMenDiv[WHR Score]))/STDEV(TableMenDiv[WHR Score])</f>
        <v>-0.27332212166708114</v>
      </c>
      <c r="I164">
        <f>RANK(TableMenDiv[[#This Row],[WHR Score]],TableMenDiv[WHR Score],0)</f>
        <v>124</v>
      </c>
      <c r="J164">
        <f>SUMPRODUCT((TableMenDiv[Division]=TableMenDiv[[#This Row],[Division]])*(TableMenDiv[WHR Score]&gt;TableMenDiv[[#This Row],[WHR Score]]))+1</f>
        <v>19</v>
      </c>
    </row>
    <row r="165" spans="4:10" x14ac:dyDescent="0.25">
      <c r="D165" t="s">
        <v>215</v>
      </c>
      <c r="E165" t="s">
        <v>33</v>
      </c>
      <c r="F165">
        <v>20</v>
      </c>
      <c r="G165">
        <v>1593.8</v>
      </c>
      <c r="H165" s="17">
        <f>(TableMenDiv[[#This Row],[WHR Score]]-AVERAGE(TableMenDiv[WHR Score]))/STDEV(TableMenDiv[WHR Score])</f>
        <v>-0.34464981719587051</v>
      </c>
      <c r="I165">
        <f>RANK(TableMenDiv[[#This Row],[WHR Score]],TableMenDiv[WHR Score],0)</f>
        <v>130</v>
      </c>
      <c r="J165">
        <f>SUMPRODUCT((TableMenDiv[Division]=TableMenDiv[[#This Row],[Division]])*(TableMenDiv[WHR Score]&gt;TableMenDiv[[#This Row],[WHR Score]]))+1</f>
        <v>20</v>
      </c>
    </row>
    <row r="166" spans="4:10" x14ac:dyDescent="0.25">
      <c r="D166" t="s">
        <v>216</v>
      </c>
      <c r="E166" t="s">
        <v>33</v>
      </c>
      <c r="F166">
        <v>13</v>
      </c>
      <c r="G166">
        <v>1592.4</v>
      </c>
      <c r="H166" s="17">
        <f>(TableMenDiv[[#This Row],[WHR Score]]-AVERAGE(TableMenDiv[WHR Score]))/STDEV(TableMenDiv[WHR Score])</f>
        <v>-0.35745222408565203</v>
      </c>
      <c r="I166">
        <f>RANK(TableMenDiv[[#This Row],[WHR Score]],TableMenDiv[WHR Score],0)</f>
        <v>131</v>
      </c>
      <c r="J166">
        <f>SUMPRODUCT((TableMenDiv[Division]=TableMenDiv[[#This Row],[Division]])*(TableMenDiv[WHR Score]&gt;TableMenDiv[[#This Row],[WHR Score]]))+1</f>
        <v>21</v>
      </c>
    </row>
    <row r="167" spans="4:10" x14ac:dyDescent="0.25">
      <c r="D167" t="s">
        <v>217</v>
      </c>
      <c r="E167" t="s">
        <v>33</v>
      </c>
      <c r="F167">
        <v>16</v>
      </c>
      <c r="G167">
        <v>1582.9</v>
      </c>
      <c r="H167" s="17">
        <f>(TableMenDiv[[#This Row],[WHR Score]]-AVERAGE(TableMenDiv[WHR Score]))/STDEV(TableMenDiv[WHR Score])</f>
        <v>-0.44432569940917804</v>
      </c>
      <c r="I167">
        <f>RANK(TableMenDiv[[#This Row],[WHR Score]],TableMenDiv[WHR Score],0)</f>
        <v>140</v>
      </c>
      <c r="J167">
        <f>SUMPRODUCT((TableMenDiv[Division]=TableMenDiv[[#This Row],[Division]])*(TableMenDiv[WHR Score]&gt;TableMenDiv[[#This Row],[WHR Score]]))+1</f>
        <v>22</v>
      </c>
    </row>
    <row r="168" spans="4:10" x14ac:dyDescent="0.25">
      <c r="D168" t="s">
        <v>218</v>
      </c>
      <c r="E168" t="s">
        <v>33</v>
      </c>
      <c r="F168">
        <v>24</v>
      </c>
      <c r="G168">
        <v>1579.1</v>
      </c>
      <c r="H168" s="17">
        <f>(TableMenDiv[[#This Row],[WHR Score]]-AVERAGE(TableMenDiv[WHR Score]))/STDEV(TableMenDiv[WHR Score])</f>
        <v>-0.47907508953859013</v>
      </c>
      <c r="I168">
        <f>RANK(TableMenDiv[[#This Row],[WHR Score]],TableMenDiv[WHR Score],0)</f>
        <v>147</v>
      </c>
      <c r="J168">
        <f>SUMPRODUCT((TableMenDiv[Division]=TableMenDiv[[#This Row],[Division]])*(TableMenDiv[WHR Score]&gt;TableMenDiv[[#This Row],[WHR Score]]))+1</f>
        <v>23</v>
      </c>
    </row>
    <row r="169" spans="4:10" x14ac:dyDescent="0.25">
      <c r="D169" t="s">
        <v>219</v>
      </c>
      <c r="E169" t="s">
        <v>33</v>
      </c>
      <c r="F169">
        <v>21</v>
      </c>
      <c r="G169">
        <v>1575.8</v>
      </c>
      <c r="H169" s="17">
        <f>(TableMenDiv[[#This Row],[WHR Score]]-AVERAGE(TableMenDiv[WHR Score]))/STDEV(TableMenDiv[WHR Score])</f>
        <v>-0.50925219149307765</v>
      </c>
      <c r="I169">
        <f>RANK(TableMenDiv[[#This Row],[WHR Score]],TableMenDiv[WHR Score],0)</f>
        <v>150</v>
      </c>
      <c r="J169">
        <f>SUMPRODUCT((TableMenDiv[Division]=TableMenDiv[[#This Row],[Division]])*(TableMenDiv[WHR Score]&gt;TableMenDiv[[#This Row],[WHR Score]]))+1</f>
        <v>24</v>
      </c>
    </row>
    <row r="170" spans="4:10" x14ac:dyDescent="0.25">
      <c r="D170" t="s">
        <v>220</v>
      </c>
      <c r="E170" t="s">
        <v>33</v>
      </c>
      <c r="F170">
        <v>19</v>
      </c>
      <c r="G170">
        <v>1574</v>
      </c>
      <c r="H170" s="17">
        <f>(TableMenDiv[[#This Row],[WHR Score]]-AVERAGE(TableMenDiv[WHR Score]))/STDEV(TableMenDiv[WHR Score])</f>
        <v>-0.52571242892279801</v>
      </c>
      <c r="I170">
        <f>RANK(TableMenDiv[[#This Row],[WHR Score]],TableMenDiv[WHR Score],0)</f>
        <v>153</v>
      </c>
      <c r="J170">
        <f>SUMPRODUCT((TableMenDiv[Division]=TableMenDiv[[#This Row],[Division]])*(TableMenDiv[WHR Score]&gt;TableMenDiv[[#This Row],[WHR Score]]))+1</f>
        <v>25</v>
      </c>
    </row>
    <row r="171" spans="4:10" x14ac:dyDescent="0.25">
      <c r="D171" t="s">
        <v>221</v>
      </c>
      <c r="E171" t="s">
        <v>33</v>
      </c>
      <c r="F171">
        <v>17</v>
      </c>
      <c r="G171">
        <v>1572.9</v>
      </c>
      <c r="H171" s="17">
        <f>(TableMenDiv[[#This Row],[WHR Score]]-AVERAGE(TableMenDiv[WHR Score]))/STDEV(TableMenDiv[WHR Score])</f>
        <v>-0.53577146290762656</v>
      </c>
      <c r="I171">
        <f>RANK(TableMenDiv[[#This Row],[WHR Score]],TableMenDiv[WHR Score],0)</f>
        <v>154</v>
      </c>
      <c r="J171">
        <f>SUMPRODUCT((TableMenDiv[Division]=TableMenDiv[[#This Row],[Division]])*(TableMenDiv[WHR Score]&gt;TableMenDiv[[#This Row],[WHR Score]]))+1</f>
        <v>26</v>
      </c>
    </row>
    <row r="172" spans="4:10" x14ac:dyDescent="0.25">
      <c r="D172" t="s">
        <v>222</v>
      </c>
      <c r="E172" t="s">
        <v>33</v>
      </c>
      <c r="F172">
        <v>28</v>
      </c>
      <c r="G172">
        <v>1569.7</v>
      </c>
      <c r="H172" s="17">
        <f>(TableMenDiv[[#This Row],[WHR Score]]-AVERAGE(TableMenDiv[WHR Score]))/STDEV(TableMenDiv[WHR Score])</f>
        <v>-0.56503410722713043</v>
      </c>
      <c r="I172">
        <f>RANK(TableMenDiv[[#This Row],[WHR Score]],TableMenDiv[WHR Score],0)</f>
        <v>158</v>
      </c>
      <c r="J172">
        <f>SUMPRODUCT((TableMenDiv[Division]=TableMenDiv[[#This Row],[Division]])*(TableMenDiv[WHR Score]&gt;TableMenDiv[[#This Row],[WHR Score]]))+1</f>
        <v>27</v>
      </c>
    </row>
    <row r="173" spans="4:10" x14ac:dyDescent="0.25">
      <c r="D173" t="s">
        <v>223</v>
      </c>
      <c r="E173" t="s">
        <v>33</v>
      </c>
      <c r="F173">
        <v>15</v>
      </c>
      <c r="G173">
        <v>1567.3</v>
      </c>
      <c r="H173" s="17">
        <f>(TableMenDiv[[#This Row],[WHR Score]]-AVERAGE(TableMenDiv[WHR Score]))/STDEV(TableMenDiv[WHR Score])</f>
        <v>-0.58698109046675884</v>
      </c>
      <c r="I173">
        <f>RANK(TableMenDiv[[#This Row],[WHR Score]],TableMenDiv[WHR Score],0)</f>
        <v>161</v>
      </c>
      <c r="J173">
        <f>SUMPRODUCT((TableMenDiv[Division]=TableMenDiv[[#This Row],[Division]])*(TableMenDiv[WHR Score]&gt;TableMenDiv[[#This Row],[WHR Score]]))+1</f>
        <v>28</v>
      </c>
    </row>
    <row r="174" spans="4:10" x14ac:dyDescent="0.25">
      <c r="D174" t="s">
        <v>224</v>
      </c>
      <c r="E174" t="s">
        <v>33</v>
      </c>
      <c r="F174">
        <v>28</v>
      </c>
      <c r="G174">
        <v>1564.6</v>
      </c>
      <c r="H174" s="17">
        <f>(TableMenDiv[[#This Row],[WHR Score]]-AVERAGE(TableMenDiv[WHR Score]))/STDEV(TableMenDiv[WHR Score])</f>
        <v>-0.61167144661134043</v>
      </c>
      <c r="I174">
        <f>RANK(TableMenDiv[[#This Row],[WHR Score]],TableMenDiv[WHR Score],0)</f>
        <v>164</v>
      </c>
      <c r="J174">
        <f>SUMPRODUCT((TableMenDiv[Division]=TableMenDiv[[#This Row],[Division]])*(TableMenDiv[WHR Score]&gt;TableMenDiv[[#This Row],[WHR Score]]))+1</f>
        <v>29</v>
      </c>
    </row>
    <row r="175" spans="4:10" x14ac:dyDescent="0.25">
      <c r="D175" t="s">
        <v>225</v>
      </c>
      <c r="E175" t="s">
        <v>33</v>
      </c>
      <c r="F175">
        <v>18</v>
      </c>
      <c r="G175">
        <v>1563.7</v>
      </c>
      <c r="H175" s="17">
        <f>(TableMenDiv[[#This Row],[WHR Score]]-AVERAGE(TableMenDiv[WHR Score]))/STDEV(TableMenDiv[WHR Score])</f>
        <v>-0.61990156532619944</v>
      </c>
      <c r="I175">
        <f>RANK(TableMenDiv[[#This Row],[WHR Score]],TableMenDiv[WHR Score],0)</f>
        <v>166</v>
      </c>
      <c r="J175">
        <f>SUMPRODUCT((TableMenDiv[Division]=TableMenDiv[[#This Row],[Division]])*(TableMenDiv[WHR Score]&gt;TableMenDiv[[#This Row],[WHR Score]]))+1</f>
        <v>30</v>
      </c>
    </row>
    <row r="176" spans="4:10" x14ac:dyDescent="0.25">
      <c r="D176" t="s">
        <v>34</v>
      </c>
      <c r="E176" t="s">
        <v>35</v>
      </c>
      <c r="F176">
        <v>23</v>
      </c>
      <c r="G176">
        <v>1999.2</v>
      </c>
      <c r="H176" s="17">
        <f>(TableMenDiv[[#This Row],[WHR Score]]-AVERAGE(TableMenDiv[WHR Score]))/STDEV(TableMenDiv[WHR Score])</f>
        <v>3.3625614350312305</v>
      </c>
      <c r="I176">
        <f>RANK(TableMenDiv[[#This Row],[WHR Score]],TableMenDiv[WHR Score],0)</f>
        <v>1</v>
      </c>
      <c r="J176">
        <f>SUMPRODUCT((TableMenDiv[Division]=TableMenDiv[[#This Row],[Division]])*(TableMenDiv[WHR Score]&gt;TableMenDiv[[#This Row],[WHR Score]]))+1</f>
        <v>1</v>
      </c>
    </row>
    <row r="177" spans="4:10" x14ac:dyDescent="0.25">
      <c r="D177" t="s">
        <v>38</v>
      </c>
      <c r="E177" t="s">
        <v>35</v>
      </c>
      <c r="F177">
        <v>14</v>
      </c>
      <c r="G177">
        <v>1877.7</v>
      </c>
      <c r="H177" s="17">
        <f>(TableMenDiv[[#This Row],[WHR Score]]-AVERAGE(TableMenDiv[WHR Score]))/STDEV(TableMenDiv[WHR Score])</f>
        <v>2.2514954085250816</v>
      </c>
      <c r="I177">
        <f>RANK(TableMenDiv[[#This Row],[WHR Score]],TableMenDiv[WHR Score],0)</f>
        <v>8</v>
      </c>
      <c r="J177">
        <f>SUMPRODUCT((TableMenDiv[Division]=TableMenDiv[[#This Row],[Division]])*(TableMenDiv[WHR Score]&gt;TableMenDiv[[#This Row],[WHR Score]]))+1</f>
        <v>2</v>
      </c>
    </row>
    <row r="178" spans="4:10" x14ac:dyDescent="0.25">
      <c r="D178" t="s">
        <v>82</v>
      </c>
      <c r="E178" t="s">
        <v>35</v>
      </c>
      <c r="F178">
        <v>12</v>
      </c>
      <c r="G178">
        <v>1874.1</v>
      </c>
      <c r="H178" s="17">
        <f>(TableMenDiv[[#This Row],[WHR Score]]-AVERAGE(TableMenDiv[WHR Score]))/STDEV(TableMenDiv[WHR Score])</f>
        <v>2.2185749336656388</v>
      </c>
      <c r="I178">
        <f>RANK(TableMenDiv[[#This Row],[WHR Score]],TableMenDiv[WHR Score],0)</f>
        <v>9</v>
      </c>
      <c r="J178">
        <f>SUMPRODUCT((TableMenDiv[Division]=TableMenDiv[[#This Row],[Division]])*(TableMenDiv[WHR Score]&gt;TableMenDiv[[#This Row],[WHR Score]]))+1</f>
        <v>3</v>
      </c>
    </row>
    <row r="179" spans="4:10" x14ac:dyDescent="0.25">
      <c r="D179" t="s">
        <v>75</v>
      </c>
      <c r="E179" t="s">
        <v>35</v>
      </c>
      <c r="F179">
        <v>20</v>
      </c>
      <c r="G179">
        <v>1772.8</v>
      </c>
      <c r="H179" s="17">
        <f>(TableMenDiv[[#This Row],[WHR Score]]-AVERAGE(TableMenDiv[WHR Score]))/STDEV(TableMenDiv[WHR Score])</f>
        <v>1.2922293494263566</v>
      </c>
      <c r="I179">
        <f>RANK(TableMenDiv[[#This Row],[WHR Score]],TableMenDiv[WHR Score],0)</f>
        <v>27</v>
      </c>
      <c r="J179">
        <f>SUMPRODUCT((TableMenDiv[Division]=TableMenDiv[[#This Row],[Division]])*(TableMenDiv[WHR Score]&gt;TableMenDiv[[#This Row],[WHR Score]]))+1</f>
        <v>4</v>
      </c>
    </row>
    <row r="180" spans="4:10" x14ac:dyDescent="0.25">
      <c r="D180" t="s">
        <v>85</v>
      </c>
      <c r="E180" t="s">
        <v>35</v>
      </c>
      <c r="F180">
        <v>21</v>
      </c>
      <c r="G180">
        <v>1759.4</v>
      </c>
      <c r="H180" s="17">
        <f>(TableMenDiv[[#This Row],[WHR Score]]-AVERAGE(TableMenDiv[WHR Score]))/STDEV(TableMenDiv[WHR Score])</f>
        <v>1.1696920263384369</v>
      </c>
      <c r="I180">
        <f>RANK(TableMenDiv[[#This Row],[WHR Score]],TableMenDiv[WHR Score],0)</f>
        <v>33</v>
      </c>
      <c r="J180">
        <f>SUMPRODUCT((TableMenDiv[Division]=TableMenDiv[[#This Row],[Division]])*(TableMenDiv[WHR Score]&gt;TableMenDiv[[#This Row],[WHR Score]]))+1</f>
        <v>5</v>
      </c>
    </row>
    <row r="181" spans="4:10" x14ac:dyDescent="0.25">
      <c r="D181" t="s">
        <v>226</v>
      </c>
      <c r="E181" t="s">
        <v>35</v>
      </c>
      <c r="F181">
        <v>23</v>
      </c>
      <c r="G181">
        <v>1725.9</v>
      </c>
      <c r="H181" s="17">
        <f>(TableMenDiv[[#This Row],[WHR Score]]-AVERAGE(TableMenDiv[WHR Score]))/STDEV(TableMenDiv[WHR Score])</f>
        <v>0.86334871861863471</v>
      </c>
      <c r="I181">
        <f>RANK(TableMenDiv[[#This Row],[WHR Score]],TableMenDiv[WHR Score],0)</f>
        <v>40</v>
      </c>
      <c r="J181">
        <f>SUMPRODUCT((TableMenDiv[Division]=TableMenDiv[[#This Row],[Division]])*(TableMenDiv[WHR Score]&gt;TableMenDiv[[#This Row],[WHR Score]]))+1</f>
        <v>6</v>
      </c>
    </row>
    <row r="182" spans="4:10" x14ac:dyDescent="0.25">
      <c r="D182" t="s">
        <v>227</v>
      </c>
      <c r="E182" t="s">
        <v>35</v>
      </c>
      <c r="F182">
        <v>24</v>
      </c>
      <c r="G182">
        <v>1721.6</v>
      </c>
      <c r="H182" s="17">
        <f>(TableMenDiv[[#This Row],[WHR Score]]-AVERAGE(TableMenDiv[WHR Score]))/STDEV(TableMenDiv[WHR Score])</f>
        <v>0.82402704031430019</v>
      </c>
      <c r="I182">
        <f>RANK(TableMenDiv[[#This Row],[WHR Score]],TableMenDiv[WHR Score],0)</f>
        <v>42</v>
      </c>
      <c r="J182">
        <f>SUMPRODUCT((TableMenDiv[Division]=TableMenDiv[[#This Row],[Division]])*(TableMenDiv[WHR Score]&gt;TableMenDiv[[#This Row],[WHR Score]]))+1</f>
        <v>7</v>
      </c>
    </row>
    <row r="183" spans="4:10" x14ac:dyDescent="0.25">
      <c r="D183" t="s">
        <v>228</v>
      </c>
      <c r="E183" t="s">
        <v>35</v>
      </c>
      <c r="F183">
        <v>15</v>
      </c>
      <c r="G183">
        <v>1695</v>
      </c>
      <c r="H183" s="17">
        <f>(TableMenDiv[[#This Row],[WHR Score]]-AVERAGE(TableMenDiv[WHR Score]))/STDEV(TableMenDiv[WHR Score])</f>
        <v>0.5807813094084282</v>
      </c>
      <c r="I183">
        <f>RANK(TableMenDiv[[#This Row],[WHR Score]],TableMenDiv[WHR Score],0)</f>
        <v>56</v>
      </c>
      <c r="J183">
        <f>SUMPRODUCT((TableMenDiv[Division]=TableMenDiv[[#This Row],[Division]])*(TableMenDiv[WHR Score]&gt;TableMenDiv[[#This Row],[WHR Score]]))+1</f>
        <v>8</v>
      </c>
    </row>
    <row r="184" spans="4:10" x14ac:dyDescent="0.25">
      <c r="D184" t="s">
        <v>229</v>
      </c>
      <c r="E184" t="s">
        <v>35</v>
      </c>
      <c r="F184">
        <v>23</v>
      </c>
      <c r="G184">
        <v>1685.3</v>
      </c>
      <c r="H184" s="17">
        <f>(TableMenDiv[[#This Row],[WHR Score]]-AVERAGE(TableMenDiv[WHR Score]))/STDEV(TableMenDiv[WHR Score])</f>
        <v>0.49207891881493276</v>
      </c>
      <c r="I184">
        <f>RANK(TableMenDiv[[#This Row],[WHR Score]],TableMenDiv[WHR Score],0)</f>
        <v>59</v>
      </c>
      <c r="J184">
        <f>SUMPRODUCT((TableMenDiv[Division]=TableMenDiv[[#This Row],[Division]])*(TableMenDiv[WHR Score]&gt;TableMenDiv[[#This Row],[WHR Score]]))+1</f>
        <v>9</v>
      </c>
    </row>
    <row r="185" spans="4:10" x14ac:dyDescent="0.25">
      <c r="D185" t="s">
        <v>230</v>
      </c>
      <c r="E185" t="s">
        <v>35</v>
      </c>
      <c r="F185">
        <v>13</v>
      </c>
      <c r="G185">
        <v>1682.2</v>
      </c>
      <c r="H185" s="17">
        <f>(TableMenDiv[[#This Row],[WHR Score]]-AVERAGE(TableMenDiv[WHR Score]))/STDEV(TableMenDiv[WHR Score])</f>
        <v>0.4637307321304146</v>
      </c>
      <c r="I185">
        <f>RANK(TableMenDiv[[#This Row],[WHR Score]],TableMenDiv[WHR Score],0)</f>
        <v>61</v>
      </c>
      <c r="J185">
        <f>SUMPRODUCT((TableMenDiv[Division]=TableMenDiv[[#This Row],[Division]])*(TableMenDiv[WHR Score]&gt;TableMenDiv[[#This Row],[WHR Score]]))+1</f>
        <v>10</v>
      </c>
    </row>
    <row r="186" spans="4:10" x14ac:dyDescent="0.25">
      <c r="D186" t="s">
        <v>231</v>
      </c>
      <c r="E186" t="s">
        <v>35</v>
      </c>
      <c r="F186">
        <v>22</v>
      </c>
      <c r="G186">
        <v>1669.5</v>
      </c>
      <c r="H186" s="17">
        <f>(TableMenDiv[[#This Row],[WHR Score]]-AVERAGE(TableMenDiv[WHR Score]))/STDEV(TableMenDiv[WHR Score])</f>
        <v>0.34759461248738466</v>
      </c>
      <c r="I186">
        <f>RANK(TableMenDiv[[#This Row],[WHR Score]],TableMenDiv[WHR Score],0)</f>
        <v>67</v>
      </c>
      <c r="J186">
        <f>SUMPRODUCT((TableMenDiv[Division]=TableMenDiv[[#This Row],[Division]])*(TableMenDiv[WHR Score]&gt;TableMenDiv[[#This Row],[WHR Score]]))+1</f>
        <v>11</v>
      </c>
    </row>
    <row r="187" spans="4:10" x14ac:dyDescent="0.25">
      <c r="D187" t="s">
        <v>232</v>
      </c>
      <c r="E187" t="s">
        <v>35</v>
      </c>
      <c r="F187">
        <v>20</v>
      </c>
      <c r="G187">
        <v>1648</v>
      </c>
      <c r="H187" s="17">
        <f>(TableMenDiv[[#This Row],[WHR Score]]-AVERAGE(TableMenDiv[WHR Score]))/STDEV(TableMenDiv[WHR Score])</f>
        <v>0.15098622096572048</v>
      </c>
      <c r="I187">
        <f>RANK(TableMenDiv[[#This Row],[WHR Score]],TableMenDiv[WHR Score],0)</f>
        <v>79</v>
      </c>
      <c r="J187">
        <f>SUMPRODUCT((TableMenDiv[Division]=TableMenDiv[[#This Row],[Division]])*(TableMenDiv[WHR Score]&gt;TableMenDiv[[#This Row],[WHR Score]]))+1</f>
        <v>12</v>
      </c>
    </row>
    <row r="188" spans="4:10" x14ac:dyDescent="0.25">
      <c r="D188" t="s">
        <v>233</v>
      </c>
      <c r="E188" t="s">
        <v>35</v>
      </c>
      <c r="F188">
        <v>15</v>
      </c>
      <c r="G188">
        <v>1636.8</v>
      </c>
      <c r="H188" s="17">
        <f>(TableMenDiv[[#This Row],[WHR Score]]-AVERAGE(TableMenDiv[WHR Score]))/STDEV(TableMenDiv[WHR Score])</f>
        <v>4.8566965847457809E-2</v>
      </c>
      <c r="I188">
        <f>RANK(TableMenDiv[[#This Row],[WHR Score]],TableMenDiv[WHR Score],0)</f>
        <v>87</v>
      </c>
      <c r="J188">
        <f>SUMPRODUCT((TableMenDiv[Division]=TableMenDiv[[#This Row],[Division]])*(TableMenDiv[WHR Score]&gt;TableMenDiv[[#This Row],[WHR Score]]))+1</f>
        <v>13</v>
      </c>
    </row>
    <row r="189" spans="4:10" x14ac:dyDescent="0.25">
      <c r="D189" t="s">
        <v>234</v>
      </c>
      <c r="E189" t="s">
        <v>35</v>
      </c>
      <c r="F189">
        <v>18</v>
      </c>
      <c r="G189">
        <v>1628.6</v>
      </c>
      <c r="H189" s="17">
        <f>(TableMenDiv[[#This Row],[WHR Score]]-AVERAGE(TableMenDiv[WHR Score]))/STDEV(TableMenDiv[WHR Score])</f>
        <v>-2.6418560221270329E-2</v>
      </c>
      <c r="I189">
        <f>RANK(TableMenDiv[[#This Row],[WHR Score]],TableMenDiv[WHR Score],0)</f>
        <v>94</v>
      </c>
      <c r="J189">
        <f>SUMPRODUCT((TableMenDiv[Division]=TableMenDiv[[#This Row],[Division]])*(TableMenDiv[WHR Score]&gt;TableMenDiv[[#This Row],[WHR Score]]))+1</f>
        <v>14</v>
      </c>
    </row>
    <row r="190" spans="4:10" x14ac:dyDescent="0.25">
      <c r="D190" t="s">
        <v>235</v>
      </c>
      <c r="E190" t="s">
        <v>35</v>
      </c>
      <c r="F190">
        <v>15</v>
      </c>
      <c r="G190">
        <v>1611.9</v>
      </c>
      <c r="H190" s="17">
        <f>(TableMenDiv[[#This Row],[WHR Score]]-AVERAGE(TableMenDiv[WHR Score]))/STDEV(TableMenDiv[WHR Score])</f>
        <v>-0.17913298526367757</v>
      </c>
      <c r="I190">
        <f>RANK(TableMenDiv[[#This Row],[WHR Score]],TableMenDiv[WHR Score],0)</f>
        <v>109</v>
      </c>
      <c r="J190">
        <f>SUMPRODUCT((TableMenDiv[Division]=TableMenDiv[[#This Row],[Division]])*(TableMenDiv[WHR Score]&gt;TableMenDiv[[#This Row],[WHR Score]]))+1</f>
        <v>15</v>
      </c>
    </row>
    <row r="191" spans="4:10" x14ac:dyDescent="0.25">
      <c r="D191" t="s">
        <v>236</v>
      </c>
      <c r="E191" t="s">
        <v>35</v>
      </c>
      <c r="F191">
        <v>24</v>
      </c>
      <c r="G191">
        <v>1587.4</v>
      </c>
      <c r="H191" s="17">
        <f>(TableMenDiv[[#This Row],[WHR Score]]-AVERAGE(TableMenDiv[WHR Score]))/STDEV(TableMenDiv[WHR Score])</f>
        <v>-0.40317510583487626</v>
      </c>
      <c r="I191">
        <f>RANK(TableMenDiv[[#This Row],[WHR Score]],TableMenDiv[WHR Score],0)</f>
        <v>135</v>
      </c>
      <c r="J191">
        <f>SUMPRODUCT((TableMenDiv[Division]=TableMenDiv[[#This Row],[Division]])*(TableMenDiv[WHR Score]&gt;TableMenDiv[[#This Row],[WHR Score]]))+1</f>
        <v>16</v>
      </c>
    </row>
    <row r="192" spans="4:10" x14ac:dyDescent="0.25">
      <c r="D192" t="s">
        <v>237</v>
      </c>
      <c r="E192" t="s">
        <v>35</v>
      </c>
      <c r="F192">
        <v>25</v>
      </c>
      <c r="G192">
        <v>1582.9</v>
      </c>
      <c r="H192" s="17">
        <f>(TableMenDiv[[#This Row],[WHR Score]]-AVERAGE(TableMenDiv[WHR Score]))/STDEV(TableMenDiv[WHR Score])</f>
        <v>-0.44432569940917804</v>
      </c>
      <c r="I192">
        <f>RANK(TableMenDiv[[#This Row],[WHR Score]],TableMenDiv[WHR Score],0)</f>
        <v>140</v>
      </c>
      <c r="J192">
        <f>SUMPRODUCT((TableMenDiv[Division]=TableMenDiv[[#This Row],[Division]])*(TableMenDiv[WHR Score]&gt;TableMenDiv[[#This Row],[WHR Score]]))+1</f>
        <v>17</v>
      </c>
    </row>
    <row r="193" spans="4:10" x14ac:dyDescent="0.25">
      <c r="D193" t="s">
        <v>238</v>
      </c>
      <c r="E193" t="s">
        <v>35</v>
      </c>
      <c r="F193">
        <v>16</v>
      </c>
      <c r="G193">
        <v>1575</v>
      </c>
      <c r="H193" s="17">
        <f>(TableMenDiv[[#This Row],[WHR Score]]-AVERAGE(TableMenDiv[WHR Score]))/STDEV(TableMenDiv[WHR Score])</f>
        <v>-0.51656785257295312</v>
      </c>
      <c r="I193">
        <f>RANK(TableMenDiv[[#This Row],[WHR Score]],TableMenDiv[WHR Score],0)</f>
        <v>152</v>
      </c>
      <c r="J193">
        <f>SUMPRODUCT((TableMenDiv[Division]=TableMenDiv[[#This Row],[Division]])*(TableMenDiv[WHR Score]&gt;TableMenDiv[[#This Row],[WHR Score]]))+1</f>
        <v>18</v>
      </c>
    </row>
    <row r="194" spans="4:10" x14ac:dyDescent="0.25">
      <c r="D194" t="s">
        <v>239</v>
      </c>
      <c r="E194" t="s">
        <v>35</v>
      </c>
      <c r="F194">
        <v>15</v>
      </c>
      <c r="G194">
        <v>1571</v>
      </c>
      <c r="H194" s="17">
        <f>(TableMenDiv[[#This Row],[WHR Score]]-AVERAGE(TableMenDiv[WHR Score]))/STDEV(TableMenDiv[WHR Score])</f>
        <v>-0.55314615797233257</v>
      </c>
      <c r="I194">
        <f>RANK(TableMenDiv[[#This Row],[WHR Score]],TableMenDiv[WHR Score],0)</f>
        <v>157</v>
      </c>
      <c r="J194">
        <f>SUMPRODUCT((TableMenDiv[Division]=TableMenDiv[[#This Row],[Division]])*(TableMenDiv[WHR Score]&gt;TableMenDiv[[#This Row],[WHR Score]]))+1</f>
        <v>19</v>
      </c>
    </row>
    <row r="195" spans="4:10" x14ac:dyDescent="0.25">
      <c r="D195" t="s">
        <v>240</v>
      </c>
      <c r="E195" t="s">
        <v>35</v>
      </c>
      <c r="F195">
        <v>15</v>
      </c>
      <c r="G195">
        <v>1558.3</v>
      </c>
      <c r="H195" s="17">
        <f>(TableMenDiv[[#This Row],[WHR Score]]-AVERAGE(TableMenDiv[WHR Score]))/STDEV(TableMenDiv[WHR Score])</f>
        <v>-0.66928227761536252</v>
      </c>
      <c r="I195">
        <f>RANK(TableMenDiv[[#This Row],[WHR Score]],TableMenDiv[WHR Score],0)</f>
        <v>170</v>
      </c>
      <c r="J195">
        <f>SUMPRODUCT((TableMenDiv[Division]=TableMenDiv[[#This Row],[Division]])*(TableMenDiv[WHR Score]&gt;TableMenDiv[[#This Row],[WHR Score]]))+1</f>
        <v>20</v>
      </c>
    </row>
    <row r="196" spans="4:10" x14ac:dyDescent="0.25">
      <c r="D196" t="s">
        <v>241</v>
      </c>
      <c r="E196" t="s">
        <v>35</v>
      </c>
      <c r="F196">
        <v>28</v>
      </c>
      <c r="G196">
        <v>1551.5</v>
      </c>
      <c r="H196" s="17">
        <f>(TableMenDiv[[#This Row],[WHR Score]]-AVERAGE(TableMenDiv[WHR Score]))/STDEV(TableMenDiv[WHR Score])</f>
        <v>-0.731465396794307</v>
      </c>
      <c r="I196">
        <f>RANK(TableMenDiv[[#This Row],[WHR Score]],TableMenDiv[WHR Score],0)</f>
        <v>178</v>
      </c>
      <c r="J196">
        <f>SUMPRODUCT((TableMenDiv[Division]=TableMenDiv[[#This Row],[Division]])*(TableMenDiv[WHR Score]&gt;TableMenDiv[[#This Row],[WHR Score]]))+1</f>
        <v>21</v>
      </c>
    </row>
    <row r="197" spans="4:10" x14ac:dyDescent="0.25">
      <c r="D197" t="s">
        <v>242</v>
      </c>
      <c r="E197" t="s">
        <v>35</v>
      </c>
      <c r="F197">
        <v>17</v>
      </c>
      <c r="G197">
        <v>1543.4</v>
      </c>
      <c r="H197" s="17">
        <f>(TableMenDiv[[#This Row],[WHR Score]]-AVERAGE(TableMenDiv[WHR Score]))/STDEV(TableMenDiv[WHR Score])</f>
        <v>-0.80553646522804945</v>
      </c>
      <c r="I197">
        <f>RANK(TableMenDiv[[#This Row],[WHR Score]],TableMenDiv[WHR Score],0)</f>
        <v>186</v>
      </c>
      <c r="J197">
        <f>SUMPRODUCT((TableMenDiv[Division]=TableMenDiv[[#This Row],[Division]])*(TableMenDiv[WHR Score]&gt;TableMenDiv[[#This Row],[WHR Score]]))+1</f>
        <v>22</v>
      </c>
    </row>
    <row r="198" spans="4:10" x14ac:dyDescent="0.25">
      <c r="D198" t="s">
        <v>243</v>
      </c>
      <c r="E198" t="s">
        <v>35</v>
      </c>
      <c r="F198">
        <v>21</v>
      </c>
      <c r="G198">
        <v>1540.9</v>
      </c>
      <c r="H198" s="17">
        <f>(TableMenDiv[[#This Row],[WHR Score]]-AVERAGE(TableMenDiv[WHR Score]))/STDEV(TableMenDiv[WHR Score])</f>
        <v>-0.82839790610266151</v>
      </c>
      <c r="I198">
        <f>RANK(TableMenDiv[[#This Row],[WHR Score]],TableMenDiv[WHR Score],0)</f>
        <v>188</v>
      </c>
      <c r="J198">
        <f>SUMPRODUCT((TableMenDiv[Division]=TableMenDiv[[#This Row],[Division]])*(TableMenDiv[WHR Score]&gt;TableMenDiv[[#This Row],[WHR Score]]))+1</f>
        <v>23</v>
      </c>
    </row>
    <row r="199" spans="4:10" x14ac:dyDescent="0.25">
      <c r="D199" t="s">
        <v>244</v>
      </c>
      <c r="E199" t="s">
        <v>35</v>
      </c>
      <c r="F199">
        <v>15</v>
      </c>
      <c r="G199">
        <v>1539</v>
      </c>
      <c r="H199" s="17">
        <f>(TableMenDiv[[#This Row],[WHR Score]]-AVERAGE(TableMenDiv[WHR Score]))/STDEV(TableMenDiv[WHR Score])</f>
        <v>-0.84577260116736752</v>
      </c>
      <c r="I199">
        <f>RANK(TableMenDiv[[#This Row],[WHR Score]],TableMenDiv[WHR Score],0)</f>
        <v>190</v>
      </c>
      <c r="J199">
        <f>SUMPRODUCT((TableMenDiv[Division]=TableMenDiv[[#This Row],[Division]])*(TableMenDiv[WHR Score]&gt;TableMenDiv[[#This Row],[WHR Score]]))+1</f>
        <v>24</v>
      </c>
    </row>
    <row r="200" spans="4:10" x14ac:dyDescent="0.25">
      <c r="D200" t="s">
        <v>245</v>
      </c>
      <c r="E200" t="s">
        <v>35</v>
      </c>
      <c r="F200">
        <v>15</v>
      </c>
      <c r="G200">
        <v>1536.3</v>
      </c>
      <c r="H200" s="17">
        <f>(TableMenDiv[[#This Row],[WHR Score]]-AVERAGE(TableMenDiv[WHR Score]))/STDEV(TableMenDiv[WHR Score])</f>
        <v>-0.87046295731194911</v>
      </c>
      <c r="I200">
        <f>RANK(TableMenDiv[[#This Row],[WHR Score]],TableMenDiv[WHR Score],0)</f>
        <v>192</v>
      </c>
      <c r="J200">
        <f>SUMPRODUCT((TableMenDiv[Division]=TableMenDiv[[#This Row],[Division]])*(TableMenDiv[WHR Score]&gt;TableMenDiv[[#This Row],[WHR Score]]))+1</f>
        <v>25</v>
      </c>
    </row>
    <row r="201" spans="4:10" x14ac:dyDescent="0.25">
      <c r="D201" t="s">
        <v>246</v>
      </c>
      <c r="E201" t="s">
        <v>35</v>
      </c>
      <c r="F201">
        <v>17</v>
      </c>
      <c r="G201">
        <v>1535.5</v>
      </c>
      <c r="H201" s="17">
        <f>(TableMenDiv[[#This Row],[WHR Score]]-AVERAGE(TableMenDiv[WHR Score]))/STDEV(TableMenDiv[WHR Score])</f>
        <v>-0.87777861839182447</v>
      </c>
      <c r="I201">
        <f>RANK(TableMenDiv[[#This Row],[WHR Score]],TableMenDiv[WHR Score],0)</f>
        <v>195</v>
      </c>
      <c r="J201">
        <f>SUMPRODUCT((TableMenDiv[Division]=TableMenDiv[[#This Row],[Division]])*(TableMenDiv[WHR Score]&gt;TableMenDiv[[#This Row],[WHR Score]]))+1</f>
        <v>26</v>
      </c>
    </row>
    <row r="202" spans="4:10" x14ac:dyDescent="0.25">
      <c r="D202" t="s">
        <v>247</v>
      </c>
      <c r="E202" t="s">
        <v>35</v>
      </c>
      <c r="F202">
        <v>16</v>
      </c>
      <c r="G202">
        <v>1534.2</v>
      </c>
      <c r="H202" s="17">
        <f>(TableMenDiv[[#This Row],[WHR Score]]-AVERAGE(TableMenDiv[WHR Score]))/STDEV(TableMenDiv[WHR Score])</f>
        <v>-0.88966656764662244</v>
      </c>
      <c r="I202">
        <f>RANK(TableMenDiv[[#This Row],[WHR Score]],TableMenDiv[WHR Score],0)</f>
        <v>196</v>
      </c>
      <c r="J202">
        <f>SUMPRODUCT((TableMenDiv[Division]=TableMenDiv[[#This Row],[Division]])*(TableMenDiv[WHR Score]&gt;TableMenDiv[[#This Row],[WHR Score]]))+1</f>
        <v>27</v>
      </c>
    </row>
    <row r="203" spans="4:10" x14ac:dyDescent="0.25">
      <c r="D203" t="s">
        <v>248</v>
      </c>
      <c r="E203" t="s">
        <v>35</v>
      </c>
      <c r="F203">
        <v>17</v>
      </c>
      <c r="G203">
        <v>1516.1</v>
      </c>
      <c r="H203" s="17">
        <f>(TableMenDiv[[#This Row],[WHR Score]]-AVERAGE(TableMenDiv[WHR Score]))/STDEV(TableMenDiv[WHR Score])</f>
        <v>-1.0551833995788154</v>
      </c>
      <c r="I203">
        <f>RANK(TableMenDiv[[#This Row],[WHR Score]],TableMenDiv[WHR Score],0)</f>
        <v>202</v>
      </c>
      <c r="J203">
        <f>SUMPRODUCT((TableMenDiv[Division]=TableMenDiv[[#This Row],[Division]])*(TableMenDiv[WHR Score]&gt;TableMenDiv[[#This Row],[WHR Score]]))+1</f>
        <v>28</v>
      </c>
    </row>
    <row r="204" spans="4:10" x14ac:dyDescent="0.25">
      <c r="D204" t="s">
        <v>249</v>
      </c>
      <c r="E204" t="s">
        <v>35</v>
      </c>
      <c r="F204">
        <v>15</v>
      </c>
      <c r="G204">
        <v>1512.5</v>
      </c>
      <c r="H204" s="17">
        <f>(TableMenDiv[[#This Row],[WHR Score]]-AVERAGE(TableMenDiv[WHR Score]))/STDEV(TableMenDiv[WHR Score])</f>
        <v>-1.0881038744382558</v>
      </c>
      <c r="I204">
        <f>RANK(TableMenDiv[[#This Row],[WHR Score]],TableMenDiv[WHR Score],0)</f>
        <v>207</v>
      </c>
      <c r="J204">
        <f>SUMPRODUCT((TableMenDiv[Division]=TableMenDiv[[#This Row],[Division]])*(TableMenDiv[WHR Score]&gt;TableMenDiv[[#This Row],[WHR Score]]))+1</f>
        <v>29</v>
      </c>
    </row>
    <row r="205" spans="4:10" x14ac:dyDescent="0.25">
      <c r="D205" t="s">
        <v>250</v>
      </c>
      <c r="E205" t="s">
        <v>35</v>
      </c>
      <c r="F205">
        <v>16</v>
      </c>
      <c r="G205">
        <v>1511.8</v>
      </c>
      <c r="H205" s="17">
        <f>(TableMenDiv[[#This Row],[WHR Score]]-AVERAGE(TableMenDiv[WHR Score]))/STDEV(TableMenDiv[WHR Score])</f>
        <v>-1.0945050778831478</v>
      </c>
      <c r="I205">
        <f>RANK(TableMenDiv[[#This Row],[WHR Score]],TableMenDiv[WHR Score],0)</f>
        <v>208</v>
      </c>
      <c r="J205">
        <f>SUMPRODUCT((TableMenDiv[Division]=TableMenDiv[[#This Row],[Division]])*(TableMenDiv[WHR Score]&gt;TableMenDiv[[#This Row],[WHR Score]]))+1</f>
        <v>30</v>
      </c>
    </row>
    <row r="206" spans="4:10" x14ac:dyDescent="0.25">
      <c r="D206" t="s">
        <v>72</v>
      </c>
      <c r="E206" t="s">
        <v>43</v>
      </c>
      <c r="F206">
        <v>20</v>
      </c>
      <c r="G206">
        <v>1856.2</v>
      </c>
      <c r="H206" s="17">
        <f>(TableMenDiv[[#This Row],[WHR Score]]-AVERAGE(TableMenDiv[WHR Score]))/STDEV(TableMenDiv[WHR Score])</f>
        <v>2.0548870170034177</v>
      </c>
      <c r="I206">
        <f>RANK(TableMenDiv[[#This Row],[WHR Score]],TableMenDiv[WHR Score],0)</f>
        <v>12</v>
      </c>
      <c r="J206">
        <f>SUMPRODUCT((TableMenDiv[Division]=TableMenDiv[[#This Row],[Division]])*(TableMenDiv[WHR Score]&gt;TableMenDiv[[#This Row],[WHR Score]]))+1</f>
        <v>1</v>
      </c>
    </row>
    <row r="207" spans="4:10" x14ac:dyDescent="0.25">
      <c r="D207" t="s">
        <v>50</v>
      </c>
      <c r="E207" t="s">
        <v>43</v>
      </c>
      <c r="F207">
        <v>19</v>
      </c>
      <c r="G207">
        <v>1829.8</v>
      </c>
      <c r="H207" s="17">
        <f>(TableMenDiv[[#This Row],[WHR Score]]-AVERAGE(TableMenDiv[WHR Score]))/STDEV(TableMenDiv[WHR Score])</f>
        <v>1.8134702013675128</v>
      </c>
      <c r="I207">
        <f>RANK(TableMenDiv[[#This Row],[WHR Score]],TableMenDiv[WHR Score],0)</f>
        <v>16</v>
      </c>
      <c r="J207">
        <f>SUMPRODUCT((TableMenDiv[Division]=TableMenDiv[[#This Row],[Division]])*(TableMenDiv[WHR Score]&gt;TableMenDiv[[#This Row],[WHR Score]]))+1</f>
        <v>2</v>
      </c>
    </row>
    <row r="208" spans="4:10" x14ac:dyDescent="0.25">
      <c r="D208" t="s">
        <v>58</v>
      </c>
      <c r="E208" t="s">
        <v>43</v>
      </c>
      <c r="F208">
        <v>15</v>
      </c>
      <c r="G208">
        <v>1786</v>
      </c>
      <c r="H208" s="17">
        <f>(TableMenDiv[[#This Row],[WHR Score]]-AVERAGE(TableMenDiv[WHR Score]))/STDEV(TableMenDiv[WHR Score])</f>
        <v>1.4129377572443091</v>
      </c>
      <c r="I208">
        <f>RANK(TableMenDiv[[#This Row],[WHR Score]],TableMenDiv[WHR Score],0)</f>
        <v>23</v>
      </c>
      <c r="J208">
        <f>SUMPRODUCT((TableMenDiv[Division]=TableMenDiv[[#This Row],[Division]])*(TableMenDiv[WHR Score]&gt;TableMenDiv[[#This Row],[WHR Score]]))+1</f>
        <v>3</v>
      </c>
    </row>
    <row r="209" spans="4:10" x14ac:dyDescent="0.25">
      <c r="D209" t="s">
        <v>76</v>
      </c>
      <c r="E209" t="s">
        <v>43</v>
      </c>
      <c r="F209">
        <v>13</v>
      </c>
      <c r="G209">
        <v>1768</v>
      </c>
      <c r="H209" s="17">
        <f>(TableMenDiv[[#This Row],[WHR Score]]-AVERAGE(TableMenDiv[WHR Score]))/STDEV(TableMenDiv[WHR Score])</f>
        <v>1.2483353829471018</v>
      </c>
      <c r="I209">
        <f>RANK(TableMenDiv[[#This Row],[WHR Score]],TableMenDiv[WHR Score],0)</f>
        <v>29</v>
      </c>
      <c r="J209">
        <f>SUMPRODUCT((TableMenDiv[Division]=TableMenDiv[[#This Row],[Division]])*(TableMenDiv[WHR Score]&gt;TableMenDiv[[#This Row],[WHR Score]]))+1</f>
        <v>4</v>
      </c>
    </row>
    <row r="210" spans="4:10" x14ac:dyDescent="0.25">
      <c r="D210" t="s">
        <v>71</v>
      </c>
      <c r="E210" t="s">
        <v>43</v>
      </c>
      <c r="F210">
        <v>14</v>
      </c>
      <c r="G210">
        <v>1760.7</v>
      </c>
      <c r="H210" s="17">
        <f>(TableMenDiv[[#This Row],[WHR Score]]-AVERAGE(TableMenDiv[WHR Score]))/STDEV(TableMenDiv[WHR Score])</f>
        <v>1.1815799755932348</v>
      </c>
      <c r="I210">
        <f>RANK(TableMenDiv[[#This Row],[WHR Score]],TableMenDiv[WHR Score],0)</f>
        <v>32</v>
      </c>
      <c r="J210">
        <f>SUMPRODUCT((TableMenDiv[Division]=TableMenDiv[[#This Row],[Division]])*(TableMenDiv[WHR Score]&gt;TableMenDiv[[#This Row],[WHR Score]]))+1</f>
        <v>5</v>
      </c>
    </row>
    <row r="211" spans="4:10" x14ac:dyDescent="0.25">
      <c r="D211" t="s">
        <v>55</v>
      </c>
      <c r="E211" t="s">
        <v>43</v>
      </c>
      <c r="F211">
        <v>23</v>
      </c>
      <c r="G211">
        <v>1743.4</v>
      </c>
      <c r="H211" s="17">
        <f>(TableMenDiv[[#This Row],[WHR Score]]-AVERAGE(TableMenDiv[WHR Score]))/STDEV(TableMenDiv[WHR Score])</f>
        <v>1.0233788047409196</v>
      </c>
      <c r="I211">
        <f>RANK(TableMenDiv[[#This Row],[WHR Score]],TableMenDiv[WHR Score],0)</f>
        <v>34</v>
      </c>
      <c r="J211">
        <f>SUMPRODUCT((TableMenDiv[Division]=TableMenDiv[[#This Row],[Division]])*(TableMenDiv[WHR Score]&gt;TableMenDiv[[#This Row],[WHR Score]]))+1</f>
        <v>6</v>
      </c>
    </row>
    <row r="212" spans="4:10" x14ac:dyDescent="0.25">
      <c r="D212" t="s">
        <v>251</v>
      </c>
      <c r="E212" t="s">
        <v>43</v>
      </c>
      <c r="F212">
        <v>12</v>
      </c>
      <c r="G212">
        <v>1720.9</v>
      </c>
      <c r="H212" s="17">
        <f>(TableMenDiv[[#This Row],[WHR Score]]-AVERAGE(TableMenDiv[WHR Score]))/STDEV(TableMenDiv[WHR Score])</f>
        <v>0.81762583686941048</v>
      </c>
      <c r="I212">
        <f>RANK(TableMenDiv[[#This Row],[WHR Score]],TableMenDiv[WHR Score],0)</f>
        <v>43</v>
      </c>
      <c r="J212">
        <f>SUMPRODUCT((TableMenDiv[Division]=TableMenDiv[[#This Row],[Division]])*(TableMenDiv[WHR Score]&gt;TableMenDiv[[#This Row],[WHR Score]]))+1</f>
        <v>7</v>
      </c>
    </row>
    <row r="213" spans="4:10" x14ac:dyDescent="0.25">
      <c r="D213" t="s">
        <v>252</v>
      </c>
      <c r="E213" t="s">
        <v>43</v>
      </c>
      <c r="F213">
        <v>41</v>
      </c>
      <c r="G213">
        <v>1720.7</v>
      </c>
      <c r="H213" s="17">
        <f>(TableMenDiv[[#This Row],[WHR Score]]-AVERAGE(TableMenDiv[WHR Score]))/STDEV(TableMenDiv[WHR Score])</f>
        <v>0.81579692159944106</v>
      </c>
      <c r="I213">
        <f>RANK(TableMenDiv[[#This Row],[WHR Score]],TableMenDiv[WHR Score],0)</f>
        <v>44</v>
      </c>
      <c r="J213">
        <f>SUMPRODUCT((TableMenDiv[Division]=TableMenDiv[[#This Row],[Division]])*(TableMenDiv[WHR Score]&gt;TableMenDiv[[#This Row],[WHR Score]]))+1</f>
        <v>8</v>
      </c>
    </row>
    <row r="214" spans="4:10" x14ac:dyDescent="0.25">
      <c r="D214" t="s">
        <v>253</v>
      </c>
      <c r="E214" t="s">
        <v>43</v>
      </c>
      <c r="F214">
        <v>18</v>
      </c>
      <c r="G214">
        <v>1698.8</v>
      </c>
      <c r="H214" s="17">
        <f>(TableMenDiv[[#This Row],[WHR Score]]-AVERAGE(TableMenDiv[WHR Score]))/STDEV(TableMenDiv[WHR Score])</f>
        <v>0.61553069953783812</v>
      </c>
      <c r="I214">
        <f>RANK(TableMenDiv[[#This Row],[WHR Score]],TableMenDiv[WHR Score],0)</f>
        <v>54</v>
      </c>
      <c r="J214">
        <f>SUMPRODUCT((TableMenDiv[Division]=TableMenDiv[[#This Row],[Division]])*(TableMenDiv[WHR Score]&gt;TableMenDiv[[#This Row],[WHR Score]]))+1</f>
        <v>9</v>
      </c>
    </row>
    <row r="215" spans="4:10" x14ac:dyDescent="0.25">
      <c r="D215" t="s">
        <v>254</v>
      </c>
      <c r="E215" t="s">
        <v>43</v>
      </c>
      <c r="F215">
        <v>19</v>
      </c>
      <c r="G215">
        <v>1665.7</v>
      </c>
      <c r="H215" s="17">
        <f>(TableMenDiv[[#This Row],[WHR Score]]-AVERAGE(TableMenDiv[WHR Score]))/STDEV(TableMenDiv[WHR Score])</f>
        <v>0.31284522235797463</v>
      </c>
      <c r="I215">
        <f>RANK(TableMenDiv[[#This Row],[WHR Score]],TableMenDiv[WHR Score],0)</f>
        <v>70</v>
      </c>
      <c r="J215">
        <f>SUMPRODUCT((TableMenDiv[Division]=TableMenDiv[[#This Row],[Division]])*(TableMenDiv[WHR Score]&gt;TableMenDiv[[#This Row],[WHR Score]]))+1</f>
        <v>10</v>
      </c>
    </row>
    <row r="216" spans="4:10" x14ac:dyDescent="0.25">
      <c r="D216" t="s">
        <v>255</v>
      </c>
      <c r="E216" t="s">
        <v>43</v>
      </c>
      <c r="F216">
        <v>20</v>
      </c>
      <c r="G216">
        <v>1665.3</v>
      </c>
      <c r="H216" s="17">
        <f>(TableMenDiv[[#This Row],[WHR Score]]-AVERAGE(TableMenDiv[WHR Score]))/STDEV(TableMenDiv[WHR Score])</f>
        <v>0.30918739181803589</v>
      </c>
      <c r="I216">
        <f>RANK(TableMenDiv[[#This Row],[WHR Score]],TableMenDiv[WHR Score],0)</f>
        <v>71</v>
      </c>
      <c r="J216">
        <f>SUMPRODUCT((TableMenDiv[Division]=TableMenDiv[[#This Row],[Division]])*(TableMenDiv[WHR Score]&gt;TableMenDiv[[#This Row],[WHR Score]]))+1</f>
        <v>11</v>
      </c>
    </row>
    <row r="217" spans="4:10" x14ac:dyDescent="0.25">
      <c r="D217" t="s">
        <v>256</v>
      </c>
      <c r="E217" t="s">
        <v>43</v>
      </c>
      <c r="F217">
        <v>27</v>
      </c>
      <c r="G217">
        <v>1652.2</v>
      </c>
      <c r="H217" s="17">
        <f>(TableMenDiv[[#This Row],[WHR Score]]-AVERAGE(TableMenDiv[WHR Score]))/STDEV(TableMenDiv[WHR Score])</f>
        <v>0.18939344163506924</v>
      </c>
      <c r="I217">
        <f>RANK(TableMenDiv[[#This Row],[WHR Score]],TableMenDiv[WHR Score],0)</f>
        <v>74</v>
      </c>
      <c r="J217">
        <f>SUMPRODUCT((TableMenDiv[Division]=TableMenDiv[[#This Row],[Division]])*(TableMenDiv[WHR Score]&gt;TableMenDiv[[#This Row],[WHR Score]]))+1</f>
        <v>12</v>
      </c>
    </row>
    <row r="218" spans="4:10" x14ac:dyDescent="0.25">
      <c r="D218" t="s">
        <v>257</v>
      </c>
      <c r="E218" t="s">
        <v>43</v>
      </c>
      <c r="F218">
        <v>31</v>
      </c>
      <c r="G218">
        <v>1633.3</v>
      </c>
      <c r="H218" s="17">
        <f>(TableMenDiv[[#This Row],[WHR Score]]-AVERAGE(TableMenDiv[WHR Score]))/STDEV(TableMenDiv[WHR Score])</f>
        <v>1.6560948623000855E-2</v>
      </c>
      <c r="I218">
        <f>RANK(TableMenDiv[[#This Row],[WHR Score]],TableMenDiv[WHR Score],0)</f>
        <v>90</v>
      </c>
      <c r="J218">
        <f>SUMPRODUCT((TableMenDiv[Division]=TableMenDiv[[#This Row],[Division]])*(TableMenDiv[WHR Score]&gt;TableMenDiv[[#This Row],[WHR Score]]))+1</f>
        <v>13</v>
      </c>
    </row>
    <row r="219" spans="4:10" x14ac:dyDescent="0.25">
      <c r="D219" t="s">
        <v>258</v>
      </c>
      <c r="E219" t="s">
        <v>43</v>
      </c>
      <c r="F219">
        <v>20</v>
      </c>
      <c r="G219">
        <v>1624.7</v>
      </c>
      <c r="H219" s="17">
        <f>(TableMenDiv[[#This Row],[WHR Score]]-AVERAGE(TableMenDiv[WHR Score]))/STDEV(TableMenDiv[WHR Score])</f>
        <v>-6.208240798566398E-2</v>
      </c>
      <c r="I219">
        <f>RANK(TableMenDiv[[#This Row],[WHR Score]],TableMenDiv[WHR Score],0)</f>
        <v>96</v>
      </c>
      <c r="J219">
        <f>SUMPRODUCT((TableMenDiv[Division]=TableMenDiv[[#This Row],[Division]])*(TableMenDiv[WHR Score]&gt;TableMenDiv[[#This Row],[WHR Score]]))+1</f>
        <v>14</v>
      </c>
    </row>
    <row r="220" spans="4:10" x14ac:dyDescent="0.25">
      <c r="D220" t="s">
        <v>259</v>
      </c>
      <c r="E220" t="s">
        <v>43</v>
      </c>
      <c r="F220">
        <v>13</v>
      </c>
      <c r="G220">
        <v>1601.9</v>
      </c>
      <c r="H220" s="17">
        <f>(TableMenDiv[[#This Row],[WHR Score]]-AVERAGE(TableMenDiv[WHR Score]))/STDEV(TableMenDiv[WHR Score])</f>
        <v>-0.27057874876212601</v>
      </c>
      <c r="I220">
        <f>RANK(TableMenDiv[[#This Row],[WHR Score]],TableMenDiv[WHR Score],0)</f>
        <v>123</v>
      </c>
      <c r="J220">
        <f>SUMPRODUCT((TableMenDiv[Division]=TableMenDiv[[#This Row],[Division]])*(TableMenDiv[WHR Score]&gt;TableMenDiv[[#This Row],[WHR Score]]))+1</f>
        <v>15</v>
      </c>
    </row>
    <row r="221" spans="4:10" x14ac:dyDescent="0.25">
      <c r="D221" t="s">
        <v>260</v>
      </c>
      <c r="E221" t="s">
        <v>43</v>
      </c>
      <c r="F221">
        <v>15</v>
      </c>
      <c r="G221">
        <v>1581.8</v>
      </c>
      <c r="H221" s="17">
        <f>(TableMenDiv[[#This Row],[WHR Score]]-AVERAGE(TableMenDiv[WHR Score]))/STDEV(TableMenDiv[WHR Score])</f>
        <v>-0.45438473339400864</v>
      </c>
      <c r="I221">
        <f>RANK(TableMenDiv[[#This Row],[WHR Score]],TableMenDiv[WHR Score],0)</f>
        <v>143</v>
      </c>
      <c r="J221">
        <f>SUMPRODUCT((TableMenDiv[Division]=TableMenDiv[[#This Row],[Division]])*(TableMenDiv[WHR Score]&gt;TableMenDiv[[#This Row],[WHR Score]]))+1</f>
        <v>16</v>
      </c>
    </row>
    <row r="222" spans="4:10" x14ac:dyDescent="0.25">
      <c r="D222" t="s">
        <v>261</v>
      </c>
      <c r="E222" t="s">
        <v>43</v>
      </c>
      <c r="F222">
        <v>17</v>
      </c>
      <c r="G222">
        <v>1567.5</v>
      </c>
      <c r="H222" s="17">
        <f>(TableMenDiv[[#This Row],[WHR Score]]-AVERAGE(TableMenDiv[WHR Score]))/STDEV(TableMenDiv[WHR Score])</f>
        <v>-0.58515217519678953</v>
      </c>
      <c r="I222">
        <f>RANK(TableMenDiv[[#This Row],[WHR Score]],TableMenDiv[WHR Score],0)</f>
        <v>160</v>
      </c>
      <c r="J222">
        <f>SUMPRODUCT((TableMenDiv[Division]=TableMenDiv[[#This Row],[Division]])*(TableMenDiv[WHR Score]&gt;TableMenDiv[[#This Row],[WHR Score]]))+1</f>
        <v>17</v>
      </c>
    </row>
    <row r="223" spans="4:10" x14ac:dyDescent="0.25">
      <c r="D223" t="s">
        <v>262</v>
      </c>
      <c r="E223" t="s">
        <v>43</v>
      </c>
      <c r="F223">
        <v>17</v>
      </c>
      <c r="G223">
        <v>1559</v>
      </c>
      <c r="H223" s="17">
        <f>(TableMenDiv[[#This Row],[WHR Score]]-AVERAGE(TableMenDiv[WHR Score]))/STDEV(TableMenDiv[WHR Score])</f>
        <v>-0.66288107417047071</v>
      </c>
      <c r="I223">
        <f>RANK(TableMenDiv[[#This Row],[WHR Score]],TableMenDiv[WHR Score],0)</f>
        <v>169</v>
      </c>
      <c r="J223">
        <f>SUMPRODUCT((TableMenDiv[Division]=TableMenDiv[[#This Row],[Division]])*(TableMenDiv[WHR Score]&gt;TableMenDiv[[#This Row],[WHR Score]]))+1</f>
        <v>18</v>
      </c>
    </row>
    <row r="224" spans="4:10" x14ac:dyDescent="0.25">
      <c r="D224" t="s">
        <v>263</v>
      </c>
      <c r="E224" t="s">
        <v>43</v>
      </c>
      <c r="F224">
        <v>24</v>
      </c>
      <c r="G224">
        <v>1557.6</v>
      </c>
      <c r="H224" s="17">
        <f>(TableMenDiv[[#This Row],[WHR Score]]-AVERAGE(TableMenDiv[WHR Score]))/STDEV(TableMenDiv[WHR Score])</f>
        <v>-0.67568348106025433</v>
      </c>
      <c r="I224">
        <f>RANK(TableMenDiv[[#This Row],[WHR Score]],TableMenDiv[WHR Score],0)</f>
        <v>171</v>
      </c>
      <c r="J224">
        <f>SUMPRODUCT((TableMenDiv[Division]=TableMenDiv[[#This Row],[Division]])*(TableMenDiv[WHR Score]&gt;TableMenDiv[[#This Row],[WHR Score]]))+1</f>
        <v>19</v>
      </c>
    </row>
    <row r="225" spans="4:10" x14ac:dyDescent="0.25">
      <c r="D225" t="s">
        <v>264</v>
      </c>
      <c r="E225" t="s">
        <v>43</v>
      </c>
      <c r="F225">
        <v>11</v>
      </c>
      <c r="G225">
        <v>1554.7</v>
      </c>
      <c r="H225" s="17">
        <f>(TableMenDiv[[#This Row],[WHR Score]]-AVERAGE(TableMenDiv[WHR Score]))/STDEV(TableMenDiv[WHR Score])</f>
        <v>-0.70220275247480313</v>
      </c>
      <c r="I225">
        <f>RANK(TableMenDiv[[#This Row],[WHR Score]],TableMenDiv[WHR Score],0)</f>
        <v>175</v>
      </c>
      <c r="J225">
        <f>SUMPRODUCT((TableMenDiv[Division]=TableMenDiv[[#This Row],[Division]])*(TableMenDiv[WHR Score]&gt;TableMenDiv[[#This Row],[WHR Score]]))+1</f>
        <v>20</v>
      </c>
    </row>
    <row r="226" spans="4:10" x14ac:dyDescent="0.25">
      <c r="D226" t="s">
        <v>265</v>
      </c>
      <c r="E226" t="s">
        <v>43</v>
      </c>
      <c r="F226">
        <v>22</v>
      </c>
      <c r="G226">
        <v>1549.7</v>
      </c>
      <c r="H226" s="17">
        <f>(TableMenDiv[[#This Row],[WHR Score]]-AVERAGE(TableMenDiv[WHR Score]))/STDEV(TableMenDiv[WHR Score])</f>
        <v>-0.74792563422402736</v>
      </c>
      <c r="I226">
        <f>RANK(TableMenDiv[[#This Row],[WHR Score]],TableMenDiv[WHR Score],0)</f>
        <v>179</v>
      </c>
      <c r="J226">
        <f>SUMPRODUCT((TableMenDiv[Division]=TableMenDiv[[#This Row],[Division]])*(TableMenDiv[WHR Score]&gt;TableMenDiv[[#This Row],[WHR Score]]))+1</f>
        <v>21</v>
      </c>
    </row>
    <row r="227" spans="4:10" x14ac:dyDescent="0.25">
      <c r="D227" t="s">
        <v>266</v>
      </c>
      <c r="E227" t="s">
        <v>43</v>
      </c>
      <c r="F227">
        <v>24</v>
      </c>
      <c r="G227">
        <v>1546.3</v>
      </c>
      <c r="H227" s="17">
        <f>(TableMenDiv[[#This Row],[WHR Score]]-AVERAGE(TableMenDiv[WHR Score]))/STDEV(TableMenDiv[WHR Score])</f>
        <v>-0.77901719381350065</v>
      </c>
      <c r="I227">
        <f>RANK(TableMenDiv[[#This Row],[WHR Score]],TableMenDiv[WHR Score],0)</f>
        <v>182</v>
      </c>
      <c r="J227">
        <f>SUMPRODUCT((TableMenDiv[Division]=TableMenDiv[[#This Row],[Division]])*(TableMenDiv[WHR Score]&gt;TableMenDiv[[#This Row],[WHR Score]]))+1</f>
        <v>22</v>
      </c>
    </row>
    <row r="228" spans="4:10" x14ac:dyDescent="0.25">
      <c r="D228" t="s">
        <v>267</v>
      </c>
      <c r="E228" t="s">
        <v>43</v>
      </c>
      <c r="F228">
        <v>15</v>
      </c>
      <c r="G228">
        <v>1543.6</v>
      </c>
      <c r="H228" s="17">
        <f>(TableMenDiv[[#This Row],[WHR Score]]-AVERAGE(TableMenDiv[WHR Score]))/STDEV(TableMenDiv[WHR Score])</f>
        <v>-0.80370754995808213</v>
      </c>
      <c r="I228">
        <f>RANK(TableMenDiv[[#This Row],[WHR Score]],TableMenDiv[WHR Score],0)</f>
        <v>184</v>
      </c>
      <c r="J228">
        <f>SUMPRODUCT((TableMenDiv[Division]=TableMenDiv[[#This Row],[Division]])*(TableMenDiv[WHR Score]&gt;TableMenDiv[[#This Row],[WHR Score]]))+1</f>
        <v>23</v>
      </c>
    </row>
    <row r="229" spans="4:10" x14ac:dyDescent="0.25">
      <c r="D229" t="s">
        <v>268</v>
      </c>
      <c r="E229" t="s">
        <v>43</v>
      </c>
      <c r="F229">
        <v>18</v>
      </c>
      <c r="G229">
        <v>1541.2</v>
      </c>
      <c r="H229" s="17">
        <f>(TableMenDiv[[#This Row],[WHR Score]]-AVERAGE(TableMenDiv[WHR Score]))/STDEV(TableMenDiv[WHR Score])</f>
        <v>-0.82565453319770854</v>
      </c>
      <c r="I229">
        <f>RANK(TableMenDiv[[#This Row],[WHR Score]],TableMenDiv[WHR Score],0)</f>
        <v>187</v>
      </c>
      <c r="J229">
        <f>SUMPRODUCT((TableMenDiv[Division]=TableMenDiv[[#This Row],[Division]])*(TableMenDiv[WHR Score]&gt;TableMenDiv[[#This Row],[WHR Score]]))+1</f>
        <v>24</v>
      </c>
    </row>
    <row r="230" spans="4:10" x14ac:dyDescent="0.25">
      <c r="D230" t="s">
        <v>269</v>
      </c>
      <c r="E230" t="s">
        <v>43</v>
      </c>
      <c r="F230">
        <v>19</v>
      </c>
      <c r="G230">
        <v>1529.5</v>
      </c>
      <c r="H230" s="17">
        <f>(TableMenDiv[[#This Row],[WHR Score]]-AVERAGE(TableMenDiv[WHR Score]))/STDEV(TableMenDiv[WHR Score])</f>
        <v>-0.93264607649089359</v>
      </c>
      <c r="I230">
        <f>RANK(TableMenDiv[[#This Row],[WHR Score]],TableMenDiv[WHR Score],0)</f>
        <v>197</v>
      </c>
      <c r="J230">
        <f>SUMPRODUCT((TableMenDiv[Division]=TableMenDiv[[#This Row],[Division]])*(TableMenDiv[WHR Score]&gt;TableMenDiv[[#This Row],[WHR Score]]))+1</f>
        <v>25</v>
      </c>
    </row>
    <row r="231" spans="4:10" x14ac:dyDescent="0.25">
      <c r="D231" t="s">
        <v>270</v>
      </c>
      <c r="E231" t="s">
        <v>43</v>
      </c>
      <c r="F231">
        <v>14</v>
      </c>
      <c r="G231">
        <v>1525.2</v>
      </c>
      <c r="H231" s="17">
        <f>(TableMenDiv[[#This Row],[WHR Score]]-AVERAGE(TableMenDiv[WHR Score]))/STDEV(TableMenDiv[WHR Score])</f>
        <v>-0.97196775479522601</v>
      </c>
      <c r="I231">
        <f>RANK(TableMenDiv[[#This Row],[WHR Score]],TableMenDiv[WHR Score],0)</f>
        <v>199</v>
      </c>
      <c r="J231">
        <f>SUMPRODUCT((TableMenDiv[Division]=TableMenDiv[[#This Row],[Division]])*(TableMenDiv[WHR Score]&gt;TableMenDiv[[#This Row],[WHR Score]]))+1</f>
        <v>26</v>
      </c>
    </row>
    <row r="232" spans="4:10" x14ac:dyDescent="0.25">
      <c r="D232" t="s">
        <v>271</v>
      </c>
      <c r="E232" t="s">
        <v>43</v>
      </c>
      <c r="F232">
        <v>17</v>
      </c>
      <c r="G232">
        <v>1521.8</v>
      </c>
      <c r="H232" s="17">
        <f>(TableMenDiv[[#This Row],[WHR Score]]-AVERAGE(TableMenDiv[WHR Score]))/STDEV(TableMenDiv[WHR Score])</f>
        <v>-1.0030593143846993</v>
      </c>
      <c r="I232">
        <f>RANK(TableMenDiv[[#This Row],[WHR Score]],TableMenDiv[WHR Score],0)</f>
        <v>200</v>
      </c>
      <c r="J232">
        <f>SUMPRODUCT((TableMenDiv[Division]=TableMenDiv[[#This Row],[Division]])*(TableMenDiv[WHR Score]&gt;TableMenDiv[[#This Row],[WHR Score]]))+1</f>
        <v>27</v>
      </c>
    </row>
    <row r="233" spans="4:10" x14ac:dyDescent="0.25">
      <c r="D233" t="s">
        <v>272</v>
      </c>
      <c r="E233" t="s">
        <v>43</v>
      </c>
      <c r="F233">
        <v>17</v>
      </c>
      <c r="G233">
        <v>1517.9</v>
      </c>
      <c r="H233" s="17">
        <f>(TableMenDiv[[#This Row],[WHR Score]]-AVERAGE(TableMenDiv[WHR Score]))/STDEV(TableMenDiv[WHR Score])</f>
        <v>-1.0387231621490929</v>
      </c>
      <c r="I233">
        <f>RANK(TableMenDiv[[#This Row],[WHR Score]],TableMenDiv[WHR Score],0)</f>
        <v>201</v>
      </c>
      <c r="J233">
        <f>SUMPRODUCT((TableMenDiv[Division]=TableMenDiv[[#This Row],[Division]])*(TableMenDiv[WHR Score]&gt;TableMenDiv[[#This Row],[WHR Score]]))+1</f>
        <v>28</v>
      </c>
    </row>
    <row r="234" spans="4:10" x14ac:dyDescent="0.25">
      <c r="D234" t="s">
        <v>273</v>
      </c>
      <c r="E234" t="s">
        <v>43</v>
      </c>
      <c r="F234">
        <v>18</v>
      </c>
      <c r="G234">
        <v>1509.3</v>
      </c>
      <c r="H234" s="17">
        <f>(TableMenDiv[[#This Row],[WHR Score]]-AVERAGE(TableMenDiv[WHR Score]))/STDEV(TableMenDiv[WHR Score])</f>
        <v>-1.1173665187577599</v>
      </c>
      <c r="I234">
        <f>RANK(TableMenDiv[[#This Row],[WHR Score]],TableMenDiv[WHR Score],0)</f>
        <v>210</v>
      </c>
      <c r="J234">
        <f>SUMPRODUCT((TableMenDiv[Division]=TableMenDiv[[#This Row],[Division]])*(TableMenDiv[WHR Score]&gt;TableMenDiv[[#This Row],[WHR Score]]))+1</f>
        <v>29</v>
      </c>
    </row>
    <row r="235" spans="4:10" x14ac:dyDescent="0.25">
      <c r="D235" t="s">
        <v>274</v>
      </c>
      <c r="E235" t="s">
        <v>43</v>
      </c>
      <c r="F235">
        <v>18</v>
      </c>
      <c r="G235">
        <v>1506.1</v>
      </c>
      <c r="H235" s="17">
        <f>(TableMenDiv[[#This Row],[WHR Score]]-AVERAGE(TableMenDiv[WHR Score]))/STDEV(TableMenDiv[WHR Score])</f>
        <v>-1.1466291630772638</v>
      </c>
      <c r="I235">
        <f>RANK(TableMenDiv[[#This Row],[WHR Score]],TableMenDiv[WHR Score],0)</f>
        <v>211</v>
      </c>
      <c r="J235">
        <f>SUMPRODUCT((TableMenDiv[Division]=TableMenDiv[[#This Row],[Division]])*(TableMenDiv[WHR Score]&gt;TableMenDiv[[#This Row],[WHR Score]]))+1</f>
        <v>30</v>
      </c>
    </row>
  </sheetData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2:T43"/>
  <sheetViews>
    <sheetView workbookViewId="0">
      <selection activeCell="B5" sqref="B5:F14"/>
    </sheetView>
  </sheetViews>
  <sheetFormatPr defaultRowHeight="15" x14ac:dyDescent="0.25"/>
  <cols>
    <col min="1" max="1" width="10" customWidth="1"/>
    <col min="2" max="2" width="22" customWidth="1"/>
    <col min="3" max="3" width="11" customWidth="1"/>
    <col min="4" max="4" width="23" customWidth="1"/>
    <col min="5" max="5" width="22" customWidth="1"/>
    <col min="6" max="6" width="9" customWidth="1"/>
    <col min="7" max="9" width="15" customWidth="1"/>
    <col min="10" max="12" width="11" customWidth="1"/>
    <col min="13" max="15" width="14" customWidth="1"/>
    <col min="17" max="17" width="22" customWidth="1"/>
    <col min="18" max="19" width="12" customWidth="1"/>
    <col min="20" max="20" width="10" customWidth="1"/>
  </cols>
  <sheetData>
    <row r="2" spans="4:20" ht="31.5" customHeight="1" x14ac:dyDescent="0.5">
      <c r="D2" s="16" t="s">
        <v>275</v>
      </c>
    </row>
    <row r="8" spans="4:20" x14ac:dyDescent="0.25"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21</v>
      </c>
      <c r="K8" t="s">
        <v>22</v>
      </c>
      <c r="L8" t="s">
        <v>23</v>
      </c>
      <c r="M8" t="s">
        <v>79</v>
      </c>
      <c r="N8" t="s">
        <v>80</v>
      </c>
      <c r="O8" t="s">
        <v>81</v>
      </c>
      <c r="Q8" s="19" t="s">
        <v>3</v>
      </c>
      <c r="R8" s="19" t="s">
        <v>17</v>
      </c>
      <c r="S8" s="19" t="s">
        <v>18</v>
      </c>
      <c r="T8" s="19" t="s">
        <v>19</v>
      </c>
    </row>
    <row r="9" spans="4:20" x14ac:dyDescent="0.25">
      <c r="D9" t="s">
        <v>276</v>
      </c>
      <c r="E9" t="s">
        <v>277</v>
      </c>
      <c r="F9">
        <v>18</v>
      </c>
      <c r="G9">
        <v>1966.2</v>
      </c>
      <c r="H9">
        <v>1973.9</v>
      </c>
      <c r="I9">
        <v>2362.6999999999998</v>
      </c>
      <c r="J9" s="17">
        <f>(TableWomen10yr[[#This Row],[WHR Score]]-AVERAGE(TableWomen10yr[WHR Score]))/STDEV(TableWomen10yr[WHR Score])</f>
        <v>2.9047721427209887</v>
      </c>
      <c r="K9" s="17">
        <f>(TableWomen10yr[[#This Row],[WHR I+P Score]]-AVERAGE(TableWomen10yr[WHR I+P Score]))/STDEV(TableWomen10yr[WHR I+P Score])</f>
        <v>2.8548475216849742</v>
      </c>
      <c r="L9" s="17">
        <f>(TableWomen10yr[[#This Row],[Method I+P Score]]-AVERAGE(TableWomen10yr[Method I+P Score]))/STDEV(TableWomen10yr[Method I+P Score])</f>
        <v>2.2907552381539933</v>
      </c>
      <c r="M9">
        <f>RANK(TableWomen10yr[[#This Row],[WHR Score]],TableWomen10yr[WHR Score],0)</f>
        <v>1</v>
      </c>
      <c r="N9">
        <f>RANK(TableWomen10yr[[#This Row],[WHR I+P Score]],TableWomen10yr[WHR I+P Score],0)</f>
        <v>1</v>
      </c>
      <c r="O9">
        <f>RANK(TableWomen10yr[[#This Row],[Method I+P Score]],TableWomen10yr[Method I+P Score],0)</f>
        <v>1</v>
      </c>
      <c r="Q9" t="s">
        <v>277</v>
      </c>
      <c r="R9" s="20">
        <f>AVERAGEIF($E$9:$E$43,$Q$9,$G$9:$G$43)</f>
        <v>1598.4454545454544</v>
      </c>
      <c r="S9" s="20">
        <f>_xlfn.MAXIFS($G$9:$G$43,$E$9:$E$43,$Q$9)</f>
        <v>1966.2</v>
      </c>
      <c r="T9">
        <f>COUNTIF($E$9:$E$43,$Q$9)</f>
        <v>11</v>
      </c>
    </row>
    <row r="10" spans="4:20" x14ac:dyDescent="0.25">
      <c r="D10" t="s">
        <v>278</v>
      </c>
      <c r="E10" t="s">
        <v>279</v>
      </c>
      <c r="F10">
        <v>19</v>
      </c>
      <c r="G10">
        <v>1912.7</v>
      </c>
      <c r="H10">
        <v>1924.4</v>
      </c>
      <c r="I10">
        <v>2336.3000000000002</v>
      </c>
      <c r="J10" s="17">
        <f>(TableWomen10yr[[#This Row],[WHR Score]]-AVERAGE(TableWomen10yr[WHR Score]))/STDEV(TableWomen10yr[WHR Score])</f>
        <v>2.4705994025336397</v>
      </c>
      <c r="K10" s="17">
        <f>(TableWomen10yr[[#This Row],[WHR I+P Score]]-AVERAGE(TableWomen10yr[WHR I+P Score]))/STDEV(TableWomen10yr[WHR I+P Score])</f>
        <v>2.462663932792359</v>
      </c>
      <c r="L10" s="17">
        <f>(TableWomen10yr[[#This Row],[Method I+P Score]]-AVERAGE(TableWomen10yr[Method I+P Score]))/STDEV(TableWomen10yr[Method I+P Score])</f>
        <v>2.1626693431896502</v>
      </c>
      <c r="M10">
        <f>RANK(TableWomen10yr[[#This Row],[WHR Score]],TableWomen10yr[WHR Score],0)</f>
        <v>2</v>
      </c>
      <c r="N10">
        <f>RANK(TableWomen10yr[[#This Row],[WHR I+P Score]],TableWomen10yr[WHR I+P Score],0)</f>
        <v>2</v>
      </c>
      <c r="O10">
        <f>RANK(TableWomen10yr[[#This Row],[Method I+P Score]],TableWomen10yr[Method I+P Score],0)</f>
        <v>2</v>
      </c>
      <c r="Q10" t="s">
        <v>279</v>
      </c>
      <c r="R10" s="20">
        <f>AVERAGEIF($E$9:$E$43,$Q$10,$G$9:$G$43)</f>
        <v>1606.0625</v>
      </c>
      <c r="S10" s="20">
        <f>_xlfn.MAXIFS($G$9:$G$43,$E$9:$E$43,$Q$10)</f>
        <v>1912.7</v>
      </c>
      <c r="T10">
        <f>COUNTIF($E$9:$E$43,$Q$10)</f>
        <v>8</v>
      </c>
    </row>
    <row r="11" spans="4:20" x14ac:dyDescent="0.25">
      <c r="D11" t="s">
        <v>280</v>
      </c>
      <c r="E11" t="s">
        <v>281</v>
      </c>
      <c r="F11">
        <v>13</v>
      </c>
      <c r="G11">
        <v>1838.7</v>
      </c>
      <c r="H11">
        <v>1852.5</v>
      </c>
      <c r="I11">
        <v>2319.6</v>
      </c>
      <c r="J11" s="17">
        <f>(TableWomen10yr[[#This Row],[WHR Score]]-AVERAGE(TableWomen10yr[WHR Score]))/STDEV(TableWomen10yr[WHR Score])</f>
        <v>1.8700614067604837</v>
      </c>
      <c r="K11" s="17">
        <f>(TableWomen10yr[[#This Row],[WHR I+P Score]]-AVERAGE(TableWomen10yr[WHR I+P Score]))/STDEV(TableWomen10yr[WHR I+P Score])</f>
        <v>1.8930073662998523</v>
      </c>
      <c r="L11" s="17">
        <f>(TableWomen10yr[[#This Row],[Method I+P Score]]-AVERAGE(TableWomen10yr[Method I+P Score]))/STDEV(TableWomen10yr[Method I+P Score])</f>
        <v>2.0816453111478093</v>
      </c>
      <c r="M11">
        <f>RANK(TableWomen10yr[[#This Row],[WHR Score]],TableWomen10yr[WHR Score],0)</f>
        <v>3</v>
      </c>
      <c r="N11">
        <f>RANK(TableWomen10yr[[#This Row],[WHR I+P Score]],TableWomen10yr[WHR I+P Score],0)</f>
        <v>3</v>
      </c>
      <c r="O11">
        <f>RANK(TableWomen10yr[[#This Row],[Method I+P Score]],TableWomen10yr[Method I+P Score],0)</f>
        <v>3</v>
      </c>
      <c r="Q11" t="s">
        <v>281</v>
      </c>
      <c r="R11" s="20">
        <f>AVERAGEIF($E$9:$E$43,$Q$11,$G$9:$G$43)</f>
        <v>1616.1187499999999</v>
      </c>
      <c r="S11" s="20">
        <f>_xlfn.MAXIFS($G$9:$G$43,$E$9:$E$43,$Q$11)</f>
        <v>1838.7</v>
      </c>
      <c r="T11">
        <f>COUNTIF($E$9:$E$43,$Q$11)</f>
        <v>16</v>
      </c>
    </row>
    <row r="12" spans="4:20" x14ac:dyDescent="0.25">
      <c r="D12" t="s">
        <v>282</v>
      </c>
      <c r="E12" t="s">
        <v>281</v>
      </c>
      <c r="F12">
        <v>15</v>
      </c>
      <c r="G12">
        <v>1832.8</v>
      </c>
      <c r="H12">
        <v>1844.3</v>
      </c>
      <c r="I12">
        <v>2276.4</v>
      </c>
      <c r="J12" s="17">
        <f>(TableWomen10yr[[#This Row],[WHR Score]]-AVERAGE(TableWomen10yr[WHR Score]))/STDEV(TableWomen10yr[WHR Score])</f>
        <v>1.8221806746650557</v>
      </c>
      <c r="K12" s="17">
        <f>(TableWomen10yr[[#This Row],[WHR I+P Score]]-AVERAGE(TableWomen10yr[WHR I+P Score]))/STDEV(TableWomen10yr[WHR I+P Score])</f>
        <v>1.828039579857035</v>
      </c>
      <c r="L12" s="17">
        <f>(TableWomen10yr[[#This Row],[Method I+P Score]]-AVERAGE(TableWomen10yr[Method I+P Score]))/STDEV(TableWomen10yr[Method I+P Score])</f>
        <v>1.8720502102970638</v>
      </c>
      <c r="M12">
        <f>RANK(TableWomen10yr[[#This Row],[WHR Score]],TableWomen10yr[WHR Score],0)</f>
        <v>4</v>
      </c>
      <c r="N12">
        <f>RANK(TableWomen10yr[[#This Row],[WHR I+P Score]],TableWomen10yr[WHR I+P Score],0)</f>
        <v>4</v>
      </c>
      <c r="O12">
        <f>RANK(TableWomen10yr[[#This Row],[Method I+P Score]],TableWomen10yr[Method I+P Score],0)</f>
        <v>4</v>
      </c>
    </row>
    <row r="13" spans="4:20" x14ac:dyDescent="0.25">
      <c r="D13" t="s">
        <v>283</v>
      </c>
      <c r="E13" t="s">
        <v>281</v>
      </c>
      <c r="F13">
        <v>19</v>
      </c>
      <c r="G13">
        <v>1774.9</v>
      </c>
      <c r="H13">
        <v>1789.3</v>
      </c>
      <c r="I13">
        <v>2263.9</v>
      </c>
      <c r="J13" s="17">
        <f>(TableWomen10yr[[#This Row],[WHR Score]]-AVERAGE(TableWomen10yr[WHR Score]))/STDEV(TableWomen10yr[WHR Score])</f>
        <v>1.3523002698641688</v>
      </c>
      <c r="K13" s="17">
        <f>(TableWomen10yr[[#This Row],[WHR I+P Score]]-AVERAGE(TableWomen10yr[WHR I+P Score]))/STDEV(TableWomen10yr[WHR I+P Score])</f>
        <v>1.3922800366430179</v>
      </c>
      <c r="L13" s="17">
        <f>(TableWomen10yr[[#This Row],[Method I+P Score]]-AVERAGE(TableWomen10yr[Method I+P Score]))/STDEV(TableWomen10yr[Method I+P Score])</f>
        <v>1.8114034797268246</v>
      </c>
      <c r="M13">
        <f>RANK(TableWomen10yr[[#This Row],[WHR Score]],TableWomen10yr[WHR Score],0)</f>
        <v>5</v>
      </c>
      <c r="N13">
        <f>RANK(TableWomen10yr[[#This Row],[WHR I+P Score]],TableWomen10yr[WHR I+P Score],0)</f>
        <v>5</v>
      </c>
      <c r="O13">
        <f>RANK(TableWomen10yr[[#This Row],[Method I+P Score]],TableWomen10yr[Method I+P Score],0)</f>
        <v>5</v>
      </c>
    </row>
    <row r="14" spans="4:20" x14ac:dyDescent="0.25">
      <c r="D14" t="s">
        <v>284</v>
      </c>
      <c r="E14" t="s">
        <v>281</v>
      </c>
      <c r="F14">
        <v>16</v>
      </c>
      <c r="G14">
        <v>1680.1</v>
      </c>
      <c r="H14">
        <v>1687.2</v>
      </c>
      <c r="I14">
        <v>1946.4</v>
      </c>
      <c r="J14" s="17">
        <f>(TableWomen10yr[[#This Row],[WHR Score]]-AVERAGE(TableWomen10yr[WHR Score]))/STDEV(TableWomen10yr[WHR Score])</f>
        <v>0.58296240500882723</v>
      </c>
      <c r="K14" s="17">
        <f>(TableWomen10yr[[#This Row],[WHR I+P Score]]-AVERAGE(TableWomen10yr[WHR I+P Score]))/STDEV(TableWomen10yr[WHR I+P Score])</f>
        <v>0.58335186642208892</v>
      </c>
      <c r="L14" s="17">
        <f>(TableWomen10yr[[#This Row],[Method I+P Score]]-AVERAGE(TableWomen10yr[Method I+P Score]))/STDEV(TableWomen10yr[Method I+P Score])</f>
        <v>0.27097652324275101</v>
      </c>
      <c r="M14">
        <f>RANK(TableWomen10yr[[#This Row],[WHR Score]],TableWomen10yr[WHR Score],0)</f>
        <v>6</v>
      </c>
      <c r="N14">
        <f>RANK(TableWomen10yr[[#This Row],[WHR I+P Score]],TableWomen10yr[WHR I+P Score],0)</f>
        <v>6</v>
      </c>
      <c r="O14">
        <f>RANK(TableWomen10yr[[#This Row],[Method I+P Score]],TableWomen10yr[Method I+P Score],0)</f>
        <v>9</v>
      </c>
    </row>
    <row r="15" spans="4:20" x14ac:dyDescent="0.25">
      <c r="D15" t="s">
        <v>285</v>
      </c>
      <c r="E15" t="s">
        <v>281</v>
      </c>
      <c r="F15">
        <v>30</v>
      </c>
      <c r="G15">
        <v>1677.8</v>
      </c>
      <c r="H15">
        <v>1684.8</v>
      </c>
      <c r="I15">
        <v>2045.9</v>
      </c>
      <c r="J15" s="17">
        <f>(TableWomen10yr[[#This Row],[WHR Score]]-AVERAGE(TableWomen10yr[WHR Score]))/STDEV(TableWomen10yr[WHR Score])</f>
        <v>0.56429703486993221</v>
      </c>
      <c r="K15" s="17">
        <f>(TableWomen10yr[[#This Row],[WHR I+P Score]]-AVERAGE(TableWomen10yr[WHR I+P Score]))/STDEV(TableWomen10yr[WHR I+P Score])</f>
        <v>0.56433690453638563</v>
      </c>
      <c r="L15" s="17">
        <f>(TableWomen10yr[[#This Row],[Method I+P Score]]-AVERAGE(TableWomen10yr[Method I+P Score]))/STDEV(TableWomen10yr[Method I+P Score])</f>
        <v>0.75372449858185442</v>
      </c>
      <c r="M15">
        <f>RANK(TableWomen10yr[[#This Row],[WHR Score]],TableWomen10yr[WHR Score],0)</f>
        <v>7</v>
      </c>
      <c r="N15">
        <f>RANK(TableWomen10yr[[#This Row],[WHR I+P Score]],TableWomen10yr[WHR I+P Score],0)</f>
        <v>7</v>
      </c>
      <c r="O15">
        <f>RANK(TableWomen10yr[[#This Row],[Method I+P Score]],TableWomen10yr[Method I+P Score],0)</f>
        <v>6</v>
      </c>
    </row>
    <row r="16" spans="4:20" x14ac:dyDescent="0.25">
      <c r="D16" t="s">
        <v>286</v>
      </c>
      <c r="E16" t="s">
        <v>277</v>
      </c>
      <c r="F16">
        <v>19</v>
      </c>
      <c r="G16">
        <v>1651.2</v>
      </c>
      <c r="H16">
        <v>1656.9</v>
      </c>
      <c r="I16">
        <v>1914.4</v>
      </c>
      <c r="J16" s="17">
        <f>(TableWomen10yr[[#This Row],[WHR Score]]-AVERAGE(TableWomen10yr[WHR Score]))/STDEV(TableWomen10yr[WHR Score])</f>
        <v>0.34842797152444721</v>
      </c>
      <c r="K16" s="17">
        <f>(TableWomen10yr[[#This Row],[WHR I+P Score]]-AVERAGE(TableWomen10yr[WHR I+P Score]))/STDEV(TableWomen10yr[WHR I+P Score])</f>
        <v>0.34328797261509442</v>
      </c>
      <c r="L16" s="17">
        <f>(TableWomen10yr[[#This Row],[Method I+P Score]]-AVERAGE(TableWomen10yr[Method I+P Score]))/STDEV(TableWomen10yr[Method I+P Score])</f>
        <v>0.11572089298293889</v>
      </c>
      <c r="M16">
        <f>RANK(TableWomen10yr[[#This Row],[WHR Score]],TableWomen10yr[WHR Score],0)</f>
        <v>8</v>
      </c>
      <c r="N16">
        <f>RANK(TableWomen10yr[[#This Row],[WHR I+P Score]],TableWomen10yr[WHR I+P Score],0)</f>
        <v>8</v>
      </c>
      <c r="O16">
        <f>RANK(TableWomen10yr[[#This Row],[Method I+P Score]],TableWomen10yr[Method I+P Score],0)</f>
        <v>11</v>
      </c>
    </row>
    <row r="17" spans="4:15" x14ac:dyDescent="0.25">
      <c r="D17" t="s">
        <v>287</v>
      </c>
      <c r="E17" t="s">
        <v>279</v>
      </c>
      <c r="F17">
        <v>15</v>
      </c>
      <c r="G17">
        <v>1649.6</v>
      </c>
      <c r="H17">
        <v>1656.3</v>
      </c>
      <c r="I17">
        <v>1930.1</v>
      </c>
      <c r="J17" s="17">
        <f>(TableWomen10yr[[#This Row],[WHR Score]]-AVERAGE(TableWomen10yr[WHR Score]))/STDEV(TableWomen10yr[WHR Score])</f>
        <v>0.33544336621043197</v>
      </c>
      <c r="K17" s="17">
        <f>(TableWomen10yr[[#This Row],[WHR I+P Score]]-AVERAGE(TableWomen10yr[WHR I+P Score]))/STDEV(TableWomen10yr[WHR I+P Score])</f>
        <v>0.33853423214366768</v>
      </c>
      <c r="L17" s="17">
        <f>(TableWomen10yr[[#This Row],[Method I+P Score]]-AVERAGE(TableWomen10yr[Method I+P Score]))/STDEV(TableWomen10yr[Method I+P Score])</f>
        <v>0.19189318657915835</v>
      </c>
      <c r="M17">
        <f>RANK(TableWomen10yr[[#This Row],[WHR Score]],TableWomen10yr[WHR Score],0)</f>
        <v>9</v>
      </c>
      <c r="N17">
        <f>RANK(TableWomen10yr[[#This Row],[WHR I+P Score]],TableWomen10yr[WHR I+P Score],0)</f>
        <v>9</v>
      </c>
      <c r="O17">
        <f>RANK(TableWomen10yr[[#This Row],[Method I+P Score]],TableWomen10yr[Method I+P Score],0)</f>
        <v>10</v>
      </c>
    </row>
    <row r="18" spans="4:15" x14ac:dyDescent="0.25">
      <c r="D18" t="s">
        <v>288</v>
      </c>
      <c r="E18" t="s">
        <v>277</v>
      </c>
      <c r="F18">
        <v>15</v>
      </c>
      <c r="G18">
        <v>1640.2</v>
      </c>
      <c r="H18">
        <v>1649.5</v>
      </c>
      <c r="I18">
        <v>1994.8</v>
      </c>
      <c r="J18" s="17">
        <f>(TableWomen10yr[[#This Row],[WHR Score]]-AVERAGE(TableWomen10yr[WHR Score]))/STDEV(TableWomen10yr[WHR Score])</f>
        <v>0.25915880999059976</v>
      </c>
      <c r="K18" s="17">
        <f>(TableWomen10yr[[#This Row],[WHR I+P Score]]-AVERAGE(TableWomen10yr[WHR I+P Score]))/STDEV(TableWomen10yr[WHR I+P Score])</f>
        <v>0.28465850680084409</v>
      </c>
      <c r="L18" s="17">
        <f>(TableWomen10yr[[#This Row],[Method I+P Score]]-AVERAGE(TableWomen10yr[Method I+P Score]))/STDEV(TableWomen10yr[Method I+P Score])</f>
        <v>0.50580066401071622</v>
      </c>
      <c r="M18">
        <f>RANK(TableWomen10yr[[#This Row],[WHR Score]],TableWomen10yr[WHR Score],0)</f>
        <v>10</v>
      </c>
      <c r="N18">
        <f>RANK(TableWomen10yr[[#This Row],[WHR I+P Score]],TableWomen10yr[WHR I+P Score],0)</f>
        <v>10</v>
      </c>
      <c r="O18">
        <f>RANK(TableWomen10yr[[#This Row],[Method I+P Score]],TableWomen10yr[Method I+P Score],0)</f>
        <v>7</v>
      </c>
    </row>
    <row r="19" spans="4:15" x14ac:dyDescent="0.25">
      <c r="D19" t="s">
        <v>289</v>
      </c>
      <c r="E19" t="s">
        <v>281</v>
      </c>
      <c r="F19">
        <v>13</v>
      </c>
      <c r="G19">
        <v>1617.5</v>
      </c>
      <c r="H19">
        <v>1625</v>
      </c>
      <c r="I19">
        <v>1869.5</v>
      </c>
      <c r="J19" s="17">
        <f>(TableWomen10yr[[#This Row],[WHR Score]]-AVERAGE(TableWomen10yr[WHR Score]))/STDEV(TableWomen10yr[WHR Score])</f>
        <v>7.4939722098023229E-2</v>
      </c>
      <c r="K19" s="17">
        <f>(TableWomen10yr[[#This Row],[WHR I+P Score]]-AVERAGE(TableWomen10yr[WHR I+P Score]))/STDEV(TableWomen10yr[WHR I+P Score])</f>
        <v>9.0547437550963797E-2</v>
      </c>
      <c r="L19" s="17">
        <f>(TableWomen10yr[[#This Row],[Method I+P Score]]-AVERAGE(TableWomen10yr[Method I+P Score]))/STDEV(TableWomen10yr[Method I+P Score])</f>
        <v>-0.10212216322536047</v>
      </c>
      <c r="M19">
        <f>RANK(TableWomen10yr[[#This Row],[WHR Score]],TableWomen10yr[WHR Score],0)</f>
        <v>11</v>
      </c>
      <c r="N19">
        <f>RANK(TableWomen10yr[[#This Row],[WHR I+P Score]],TableWomen10yr[WHR I+P Score],0)</f>
        <v>12</v>
      </c>
      <c r="O19">
        <f>RANK(TableWomen10yr[[#This Row],[Method I+P Score]],TableWomen10yr[Method I+P Score],0)</f>
        <v>18</v>
      </c>
    </row>
    <row r="20" spans="4:15" x14ac:dyDescent="0.25">
      <c r="D20" t="s">
        <v>290</v>
      </c>
      <c r="E20" t="s">
        <v>279</v>
      </c>
      <c r="F20">
        <v>13</v>
      </c>
      <c r="G20">
        <v>1617.3</v>
      </c>
      <c r="H20">
        <v>1625.1</v>
      </c>
      <c r="I20">
        <v>1911.4</v>
      </c>
      <c r="J20" s="17">
        <f>(TableWomen10yr[[#This Row],[WHR Score]]-AVERAGE(TableWomen10yr[WHR Score]))/STDEV(TableWomen10yr[WHR Score])</f>
        <v>7.3316646433771088E-2</v>
      </c>
      <c r="K20" s="17">
        <f>(TableWomen10yr[[#This Row],[WHR I+P Score]]-AVERAGE(TableWomen10yr[WHR I+P Score]))/STDEV(TableWomen10yr[WHR I+P Score])</f>
        <v>9.1339727629534018E-2</v>
      </c>
      <c r="L20" s="17">
        <f>(TableWomen10yr[[#This Row],[Method I+P Score]]-AVERAGE(TableWomen10yr[Method I+P Score]))/STDEV(TableWomen10yr[Method I+P Score])</f>
        <v>0.1011656776460815</v>
      </c>
      <c r="M20">
        <f>RANK(TableWomen10yr[[#This Row],[WHR Score]],TableWomen10yr[WHR Score],0)</f>
        <v>12</v>
      </c>
      <c r="N20">
        <f>RANK(TableWomen10yr[[#This Row],[WHR I+P Score]],TableWomen10yr[WHR I+P Score],0)</f>
        <v>11</v>
      </c>
      <c r="O20">
        <f>RANK(TableWomen10yr[[#This Row],[Method I+P Score]],TableWomen10yr[Method I+P Score],0)</f>
        <v>12</v>
      </c>
    </row>
    <row r="21" spans="4:15" x14ac:dyDescent="0.25">
      <c r="D21" t="s">
        <v>291</v>
      </c>
      <c r="E21" t="s">
        <v>279</v>
      </c>
      <c r="F21">
        <v>17</v>
      </c>
      <c r="G21">
        <v>1615.2</v>
      </c>
      <c r="H21">
        <v>1622.6</v>
      </c>
      <c r="I21">
        <v>1813</v>
      </c>
      <c r="J21" s="17">
        <f>(TableWomen10yr[[#This Row],[WHR Score]]-AVERAGE(TableWomen10yr[WHR Score]))/STDEV(TableWomen10yr[WHR Score])</f>
        <v>5.6274351959128208E-2</v>
      </c>
      <c r="K21" s="17">
        <f>(TableWomen10yr[[#This Row],[WHR I+P Score]]-AVERAGE(TableWomen10yr[WHR I+P Score]))/STDEV(TableWomen10yr[WHR I+P Score])</f>
        <v>7.1532475665260525E-2</v>
      </c>
      <c r="L21" s="17">
        <f>(TableWomen10yr[[#This Row],[Method I+P Score]]-AVERAGE(TableWomen10yr[Method I+P Score]))/STDEV(TableWomen10yr[Method I+P Score])</f>
        <v>-0.3762453854028413</v>
      </c>
      <c r="M21">
        <f>RANK(TableWomen10yr[[#This Row],[WHR Score]],TableWomen10yr[WHR Score],0)</f>
        <v>13</v>
      </c>
      <c r="N21">
        <f>RANK(TableWomen10yr[[#This Row],[WHR I+P Score]],TableWomen10yr[WHR I+P Score],0)</f>
        <v>13</v>
      </c>
      <c r="O21">
        <f>RANK(TableWomen10yr[[#This Row],[Method I+P Score]],TableWomen10yr[Method I+P Score],0)</f>
        <v>23</v>
      </c>
    </row>
    <row r="22" spans="4:15" x14ac:dyDescent="0.25">
      <c r="D22" t="s">
        <v>292</v>
      </c>
      <c r="E22" t="s">
        <v>281</v>
      </c>
      <c r="F22">
        <v>13</v>
      </c>
      <c r="G22">
        <v>1608.8</v>
      </c>
      <c r="H22">
        <v>1614.9</v>
      </c>
      <c r="I22">
        <v>1980.3</v>
      </c>
      <c r="J22" s="17">
        <f>(TableWomen10yr[[#This Row],[WHR Score]]-AVERAGE(TableWomen10yr[WHR Score]))/STDEV(TableWomen10yr[WHR Score])</f>
        <v>4.335930703070757E-3</v>
      </c>
      <c r="K22" s="17">
        <f>(TableWomen10yr[[#This Row],[WHR I+P Score]]-AVERAGE(TableWomen10yr[WHR I+P Score]))/STDEV(TableWomen10yr[WHR I+P Score])</f>
        <v>1.0526139615299581E-2</v>
      </c>
      <c r="L22" s="17">
        <f>(TableWomen10yr[[#This Row],[Method I+P Score]]-AVERAGE(TableWomen10yr[Method I+P Score]))/STDEV(TableWomen10yr[Method I+P Score])</f>
        <v>0.43545045654923886</v>
      </c>
      <c r="M22">
        <f>RANK(TableWomen10yr[[#This Row],[WHR Score]],TableWomen10yr[WHR Score],0)</f>
        <v>14</v>
      </c>
      <c r="N22">
        <f>RANK(TableWomen10yr[[#This Row],[WHR I+P Score]],TableWomen10yr[WHR I+P Score],0)</f>
        <v>14</v>
      </c>
      <c r="O22">
        <f>RANK(TableWomen10yr[[#This Row],[Method I+P Score]],TableWomen10yr[Method I+P Score],0)</f>
        <v>8</v>
      </c>
    </row>
    <row r="23" spans="4:15" x14ac:dyDescent="0.25">
      <c r="D23" t="s">
        <v>293</v>
      </c>
      <c r="E23" t="s">
        <v>281</v>
      </c>
      <c r="F23">
        <v>16</v>
      </c>
      <c r="G23">
        <v>1607.1</v>
      </c>
      <c r="H23">
        <v>1612.3</v>
      </c>
      <c r="I23">
        <v>1872.9</v>
      </c>
      <c r="J23" s="17">
        <f>(TableWomen10yr[[#This Row],[WHR Score]]-AVERAGE(TableWomen10yr[WHR Score]))/STDEV(TableWomen10yr[WHR Score])</f>
        <v>-9.4602124430696773E-3</v>
      </c>
      <c r="K23" s="17">
        <f>(TableWomen10yr[[#This Row],[WHR I+P Score]]-AVERAGE(TableWomen10yr[WHR I+P Score]))/STDEV(TableWomen10yr[WHR I+P Score])</f>
        <v>-1.0073402427545942E-2</v>
      </c>
      <c r="L23" s="17">
        <f>(TableWomen10yr[[#This Row],[Method I+P Score]]-AVERAGE(TableWomen10yr[Method I+P Score]))/STDEV(TableWomen10yr[Method I+P Score])</f>
        <v>-8.5626252510254977E-2</v>
      </c>
      <c r="M23">
        <f>RANK(TableWomen10yr[[#This Row],[WHR Score]],TableWomen10yr[WHR Score],0)</f>
        <v>15</v>
      </c>
      <c r="N23">
        <f>RANK(TableWomen10yr[[#This Row],[WHR I+P Score]],TableWomen10yr[WHR I+P Score],0)</f>
        <v>15</v>
      </c>
      <c r="O23">
        <f>RANK(TableWomen10yr[[#This Row],[Method I+P Score]],TableWomen10yr[Method I+P Score],0)</f>
        <v>17</v>
      </c>
    </row>
    <row r="24" spans="4:15" x14ac:dyDescent="0.25">
      <c r="D24" t="s">
        <v>294</v>
      </c>
      <c r="E24" t="s">
        <v>277</v>
      </c>
      <c r="F24">
        <v>14</v>
      </c>
      <c r="G24">
        <v>1584.2</v>
      </c>
      <c r="H24">
        <v>1586.5</v>
      </c>
      <c r="I24">
        <v>1905.5</v>
      </c>
      <c r="J24" s="17">
        <f>(TableWomen10yr[[#This Row],[WHR Score]]-AVERAGE(TableWomen10yr[WHR Score]))/STDEV(TableWomen10yr[WHR Score])</f>
        <v>-0.1953023759998965</v>
      </c>
      <c r="K24" s="17">
        <f>(TableWomen10yr[[#This Row],[WHR I+P Score]]-AVERAGE(TableWomen10yr[WHR I+P Score]))/STDEV(TableWomen10yr[WHR I+P Score])</f>
        <v>-0.21448424269884811</v>
      </c>
      <c r="L24" s="17">
        <f>(TableWomen10yr[[#This Row],[Method I+P Score]]-AVERAGE(TableWomen10yr[Method I+P Score]))/STDEV(TableWomen10yr[Method I+P Score])</f>
        <v>7.25404208169282E-2</v>
      </c>
      <c r="M24">
        <f>RANK(TableWomen10yr[[#This Row],[WHR Score]],TableWomen10yr[WHR Score],0)</f>
        <v>16</v>
      </c>
      <c r="N24">
        <f>RANK(TableWomen10yr[[#This Row],[WHR I+P Score]],TableWomen10yr[WHR I+P Score],0)</f>
        <v>16</v>
      </c>
      <c r="O24">
        <f>RANK(TableWomen10yr[[#This Row],[Method I+P Score]],TableWomen10yr[Method I+P Score],0)</f>
        <v>13</v>
      </c>
    </row>
    <row r="25" spans="4:15" x14ac:dyDescent="0.25">
      <c r="D25" t="s">
        <v>295</v>
      </c>
      <c r="E25" t="s">
        <v>277</v>
      </c>
      <c r="F25">
        <v>14</v>
      </c>
      <c r="G25">
        <v>1578.1</v>
      </c>
      <c r="H25">
        <v>1582</v>
      </c>
      <c r="I25">
        <v>1817.6</v>
      </c>
      <c r="J25" s="17">
        <f>(TableWomen10yr[[#This Row],[WHR Score]]-AVERAGE(TableWomen10yr[WHR Score]))/STDEV(TableWomen10yr[WHR Score])</f>
        <v>-0.24480618375957666</v>
      </c>
      <c r="K25" s="17">
        <f>(TableWomen10yr[[#This Row],[WHR I+P Score]]-AVERAGE(TableWomen10yr[WHR I+P Score]))/STDEV(TableWomen10yr[WHR I+P Score])</f>
        <v>-0.2501372962345404</v>
      </c>
      <c r="L25" s="17">
        <f>(TableWomen10yr[[#This Row],[Method I+P Score]]-AVERAGE(TableWomen10yr[Method I+P Score]))/STDEV(TableWomen10yr[Method I+P Score])</f>
        <v>-0.35392738855299372</v>
      </c>
      <c r="M25">
        <f>RANK(TableWomen10yr[[#This Row],[WHR Score]],TableWomen10yr[WHR Score],0)</f>
        <v>17</v>
      </c>
      <c r="N25">
        <f>RANK(TableWomen10yr[[#This Row],[WHR I+P Score]],TableWomen10yr[WHR I+P Score],0)</f>
        <v>17</v>
      </c>
      <c r="O25">
        <f>RANK(TableWomen10yr[[#This Row],[Method I+P Score]],TableWomen10yr[Method I+P Score],0)</f>
        <v>22</v>
      </c>
    </row>
    <row r="26" spans="4:15" x14ac:dyDescent="0.25">
      <c r="D26" t="s">
        <v>296</v>
      </c>
      <c r="E26" t="s">
        <v>281</v>
      </c>
      <c r="F26">
        <v>15</v>
      </c>
      <c r="G26">
        <v>1577</v>
      </c>
      <c r="H26">
        <v>1581.6</v>
      </c>
      <c r="I26">
        <v>1868</v>
      </c>
      <c r="J26" s="17">
        <f>(TableWomen10yr[[#This Row],[WHR Score]]-AVERAGE(TableWomen10yr[WHR Score]))/STDEV(TableWomen10yr[WHR Score])</f>
        <v>-0.25373309991296067</v>
      </c>
      <c r="K26" s="17">
        <f>(TableWomen10yr[[#This Row],[WHR I+P Score]]-AVERAGE(TableWomen10yr[WHR I+P Score]))/STDEV(TableWomen10yr[WHR I+P Score])</f>
        <v>-0.25330645654882489</v>
      </c>
      <c r="L26" s="17">
        <f>(TableWomen10yr[[#This Row],[Method I+P Score]]-AVERAGE(TableWomen10yr[Method I+P Score]))/STDEV(TableWomen10yr[Method I+P Score])</f>
        <v>-0.10939977089378916</v>
      </c>
      <c r="M26">
        <f>RANK(TableWomen10yr[[#This Row],[WHR Score]],TableWomen10yr[WHR Score],0)</f>
        <v>18</v>
      </c>
      <c r="N26">
        <f>RANK(TableWomen10yr[[#This Row],[WHR I+P Score]],TableWomen10yr[WHR I+P Score],0)</f>
        <v>18</v>
      </c>
      <c r="O26">
        <f>RANK(TableWomen10yr[[#This Row],[Method I+P Score]],TableWomen10yr[Method I+P Score],0)</f>
        <v>19</v>
      </c>
    </row>
    <row r="27" spans="4:15" x14ac:dyDescent="0.25">
      <c r="D27" t="s">
        <v>297</v>
      </c>
      <c r="E27" t="s">
        <v>279</v>
      </c>
      <c r="F27">
        <v>20</v>
      </c>
      <c r="G27">
        <v>1574.7</v>
      </c>
      <c r="H27">
        <v>1576.7</v>
      </c>
      <c r="I27">
        <v>1768.1</v>
      </c>
      <c r="J27" s="17">
        <f>(TableWomen10yr[[#This Row],[WHR Score]]-AVERAGE(TableWomen10yr[WHR Score]))/STDEV(TableWomen10yr[WHR Score])</f>
        <v>-0.27239847005185569</v>
      </c>
      <c r="K27" s="17">
        <f>(TableWomen10yr[[#This Row],[WHR I+P Score]]-AVERAGE(TableWomen10yr[WHR I+P Score]))/STDEV(TableWomen10yr[WHR I+P Score])</f>
        <v>-0.29212867039879986</v>
      </c>
      <c r="L27" s="17">
        <f>(TableWomen10yr[[#This Row],[Method I+P Score]]-AVERAGE(TableWomen10yr[Method I+P Score]))/STDEV(TableWomen10yr[Method I+P Score])</f>
        <v>-0.59408844161114061</v>
      </c>
      <c r="M27">
        <f>RANK(TableWomen10yr[[#This Row],[WHR Score]],TableWomen10yr[WHR Score],0)</f>
        <v>19</v>
      </c>
      <c r="N27">
        <f>RANK(TableWomen10yr[[#This Row],[WHR I+P Score]],TableWomen10yr[WHR I+P Score],0)</f>
        <v>19</v>
      </c>
      <c r="O27">
        <f>RANK(TableWomen10yr[[#This Row],[Method I+P Score]],TableWomen10yr[Method I+P Score],0)</f>
        <v>26</v>
      </c>
    </row>
    <row r="28" spans="4:15" x14ac:dyDescent="0.25">
      <c r="D28" t="s">
        <v>298</v>
      </c>
      <c r="E28" t="s">
        <v>277</v>
      </c>
      <c r="F28">
        <v>14</v>
      </c>
      <c r="G28">
        <v>1565.1</v>
      </c>
      <c r="H28">
        <v>1566.4</v>
      </c>
      <c r="I28" s="18">
        <v>1670</v>
      </c>
      <c r="J28" s="17">
        <f>(TableWomen10yr[[#This Row],[WHR Score]]-AVERAGE(TableWomen10yr[WHR Score]))/STDEV(TableWomen10yr[WHR Score])</f>
        <v>-0.35030610193594186</v>
      </c>
      <c r="K28" s="17">
        <f>(TableWomen10yr[[#This Row],[WHR I+P Score]]-AVERAGE(TableWomen10yr[WHR I+P Score]))/STDEV(TableWomen10yr[WHR I+P Score])</f>
        <v>-0.37373454849160631</v>
      </c>
      <c r="L28" s="17">
        <f>(TableWomen10yr[[#This Row],[Method I+P Score]]-AVERAGE(TableWomen10yr[Method I+P Score]))/STDEV(TableWomen10yr[Method I+P Score])</f>
        <v>-1.0700439831263768</v>
      </c>
      <c r="M28">
        <f>RANK(TableWomen10yr[[#This Row],[WHR Score]],TableWomen10yr[WHR Score],0)</f>
        <v>20</v>
      </c>
      <c r="N28">
        <f>RANK(TableWomen10yr[[#This Row],[WHR I+P Score]],TableWomen10yr[WHR I+P Score],0)</f>
        <v>20</v>
      </c>
      <c r="O28">
        <f>RANK(TableWomen10yr[[#This Row],[Method I+P Score]],TableWomen10yr[Method I+P Score],0)</f>
        <v>32</v>
      </c>
    </row>
    <row r="29" spans="4:15" x14ac:dyDescent="0.25">
      <c r="D29" t="s">
        <v>299</v>
      </c>
      <c r="E29" t="s">
        <v>281</v>
      </c>
      <c r="F29">
        <v>19</v>
      </c>
      <c r="G29">
        <v>1552.8</v>
      </c>
      <c r="H29">
        <v>1555.3</v>
      </c>
      <c r="I29">
        <v>1833.9</v>
      </c>
      <c r="J29" s="17">
        <f>(TableWomen10yr[[#This Row],[WHR Score]]-AVERAGE(TableWomen10yr[WHR Score]))/STDEV(TableWomen10yr[WHR Score])</f>
        <v>-0.45012525528742547</v>
      </c>
      <c r="K29" s="17">
        <f>(TableWomen10yr[[#This Row],[WHR I+P Score]]-AVERAGE(TableWomen10yr[WHR I+P Score]))/STDEV(TableWomen10yr[WHR I+P Score])</f>
        <v>-0.46167874721298174</v>
      </c>
      <c r="L29" s="17">
        <f>(TableWomen10yr[[#This Row],[Method I+P Score]]-AVERAGE(TableWomen10yr[Method I+P Score]))/STDEV(TableWomen10yr[Method I+P Score])</f>
        <v>-0.27484405188940103</v>
      </c>
      <c r="M29">
        <f>RANK(TableWomen10yr[[#This Row],[WHR Score]],TableWomen10yr[WHR Score],0)</f>
        <v>21</v>
      </c>
      <c r="N29">
        <f>RANK(TableWomen10yr[[#This Row],[WHR I+P Score]],TableWomen10yr[WHR I+P Score],0)</f>
        <v>22</v>
      </c>
      <c r="O29">
        <f>RANK(TableWomen10yr[[#This Row],[Method I+P Score]],TableWomen10yr[Method I+P Score],0)</f>
        <v>21</v>
      </c>
    </row>
    <row r="30" spans="4:15" x14ac:dyDescent="0.25">
      <c r="D30" t="s">
        <v>300</v>
      </c>
      <c r="E30" t="s">
        <v>281</v>
      </c>
      <c r="F30">
        <v>15</v>
      </c>
      <c r="G30">
        <v>1549.8</v>
      </c>
      <c r="H30">
        <v>1558.5</v>
      </c>
      <c r="I30">
        <v>1903.2</v>
      </c>
      <c r="J30" s="17">
        <f>(TableWomen10yr[[#This Row],[WHR Score]]-AVERAGE(TableWomen10yr[WHR Score]))/STDEV(TableWomen10yr[WHR Score])</f>
        <v>-0.47447139025120211</v>
      </c>
      <c r="K30" s="17">
        <f>(TableWomen10yr[[#This Row],[WHR I+P Score]]-AVERAGE(TableWomen10yr[WHR I+P Score]))/STDEV(TableWomen10yr[WHR I+P Score])</f>
        <v>-0.43632546469871131</v>
      </c>
      <c r="L30" s="17">
        <f>(TableWomen10yr[[#This Row],[Method I+P Score]]-AVERAGE(TableWomen10yr[Method I+P Score]))/STDEV(TableWomen10yr[Method I+P Score])</f>
        <v>6.138142239200442E-2</v>
      </c>
      <c r="M30">
        <f>RANK(TableWomen10yr[[#This Row],[WHR Score]],TableWomen10yr[WHR Score],0)</f>
        <v>22</v>
      </c>
      <c r="N30">
        <f>RANK(TableWomen10yr[[#This Row],[WHR I+P Score]],TableWomen10yr[WHR I+P Score],0)</f>
        <v>21</v>
      </c>
      <c r="O30">
        <f>RANK(TableWomen10yr[[#This Row],[Method I+P Score]],TableWomen10yr[Method I+P Score],0)</f>
        <v>14</v>
      </c>
    </row>
    <row r="31" spans="4:15" x14ac:dyDescent="0.25">
      <c r="D31" t="s">
        <v>301</v>
      </c>
      <c r="E31" t="s">
        <v>277</v>
      </c>
      <c r="F31">
        <v>13</v>
      </c>
      <c r="G31">
        <v>1545.3</v>
      </c>
      <c r="H31">
        <v>1545.9</v>
      </c>
      <c r="I31" s="18">
        <v>1691.5</v>
      </c>
      <c r="J31" s="17">
        <f>(TableWomen10yr[[#This Row],[WHR Score]]-AVERAGE(TableWomen10yr[WHR Score]))/STDEV(TableWomen10yr[WHR Score])</f>
        <v>-0.51099059269686697</v>
      </c>
      <c r="K31" s="17">
        <f>(TableWomen10yr[[#This Row],[WHR I+P Score]]-AVERAGE(TableWomen10yr[WHR I+P Score]))/STDEV(TableWomen10yr[WHR I+P Score])</f>
        <v>-0.53615401459864909</v>
      </c>
      <c r="L31" s="17">
        <f>(TableWomen10yr[[#This Row],[Method I+P Score]]-AVERAGE(TableWomen10yr[Method I+P Score]))/STDEV(TableWomen10yr[Method I+P Score])</f>
        <v>-0.96573160654556556</v>
      </c>
      <c r="M31">
        <f>RANK(TableWomen10yr[[#This Row],[WHR Score]],TableWomen10yr[WHR Score],0)</f>
        <v>23</v>
      </c>
      <c r="N31">
        <f>RANK(TableWomen10yr[[#This Row],[WHR I+P Score]],TableWomen10yr[WHR I+P Score],0)</f>
        <v>23</v>
      </c>
      <c r="O31">
        <f>RANK(TableWomen10yr[[#This Row],[Method I+P Score]],TableWomen10yr[Method I+P Score],0)</f>
        <v>31</v>
      </c>
    </row>
    <row r="32" spans="4:15" x14ac:dyDescent="0.25">
      <c r="D32" t="s">
        <v>302</v>
      </c>
      <c r="E32" t="s">
        <v>277</v>
      </c>
      <c r="F32">
        <v>13</v>
      </c>
      <c r="G32">
        <v>1543.1</v>
      </c>
      <c r="H32">
        <v>1542.7</v>
      </c>
      <c r="I32" s="18">
        <v>1619.4</v>
      </c>
      <c r="J32" s="17">
        <f>(TableWomen10yr[[#This Row],[WHR Score]]-AVERAGE(TableWomen10yr[WHR Score]))/STDEV(TableWomen10yr[WHR Score])</f>
        <v>-0.52884442500363682</v>
      </c>
      <c r="K32" s="17">
        <f>(TableWomen10yr[[#This Row],[WHR I+P Score]]-AVERAGE(TableWomen10yr[WHR I+P Score]))/STDEV(TableWomen10yr[WHR I+P Score])</f>
        <v>-0.56150729711291947</v>
      </c>
      <c r="L32" s="17">
        <f>(TableWomen10yr[[#This Row],[Method I+P Score]]-AVERAGE(TableWomen10yr[Method I+P Score]))/STDEV(TableWomen10yr[Method I+P Score])</f>
        <v>-1.3155419484747044</v>
      </c>
      <c r="M32">
        <f>RANK(TableWomen10yr[[#This Row],[WHR Score]],TableWomen10yr[WHR Score],0)</f>
        <v>24</v>
      </c>
      <c r="N32">
        <f>RANK(TableWomen10yr[[#This Row],[WHR I+P Score]],TableWomen10yr[WHR I+P Score],0)</f>
        <v>24</v>
      </c>
      <c r="O32">
        <f>RANK(TableWomen10yr[[#This Row],[Method I+P Score]],TableWomen10yr[Method I+P Score],0)</f>
        <v>34</v>
      </c>
    </row>
    <row r="33" spans="4:15" x14ac:dyDescent="0.25">
      <c r="D33" t="s">
        <v>303</v>
      </c>
      <c r="E33" t="s">
        <v>279</v>
      </c>
      <c r="F33">
        <v>13</v>
      </c>
      <c r="G33">
        <v>1526.5</v>
      </c>
      <c r="H33">
        <v>1534.5</v>
      </c>
      <c r="I33">
        <v>1793.5</v>
      </c>
      <c r="J33" s="17">
        <f>(TableWomen10yr[[#This Row],[WHR Score]]-AVERAGE(TableWomen10yr[WHR Score]))/STDEV(TableWomen10yr[WHR Score])</f>
        <v>-0.66355970513653317</v>
      </c>
      <c r="K33" s="17">
        <f>(TableWomen10yr[[#This Row],[WHR I+P Score]]-AVERAGE(TableWomen10yr[WHR I+P Score]))/STDEV(TableWomen10yr[WHR I+P Score])</f>
        <v>-0.62647508355573689</v>
      </c>
      <c r="L33" s="17">
        <f>(TableWomen10yr[[#This Row],[Method I+P Score]]-AVERAGE(TableWomen10yr[Method I+P Score]))/STDEV(TableWomen10yr[Method I+P Score])</f>
        <v>-0.47085428509241428</v>
      </c>
      <c r="M33">
        <f>RANK(TableWomen10yr[[#This Row],[WHR Score]],TableWomen10yr[WHR Score],0)</f>
        <v>25</v>
      </c>
      <c r="N33">
        <f>RANK(TableWomen10yr[[#This Row],[WHR I+P Score]],TableWomen10yr[WHR I+P Score],0)</f>
        <v>25</v>
      </c>
      <c r="O33">
        <f>RANK(TableWomen10yr[[#This Row],[Method I+P Score]],TableWomen10yr[Method I+P Score],0)</f>
        <v>24</v>
      </c>
    </row>
    <row r="34" spans="4:15" x14ac:dyDescent="0.25">
      <c r="D34" t="s">
        <v>304</v>
      </c>
      <c r="E34" t="s">
        <v>281</v>
      </c>
      <c r="F34">
        <v>19</v>
      </c>
      <c r="G34">
        <v>1526.3</v>
      </c>
      <c r="H34">
        <v>1532.9</v>
      </c>
      <c r="I34">
        <v>1879.5</v>
      </c>
      <c r="J34" s="17">
        <f>(TableWomen10yr[[#This Row],[WHR Score]]-AVERAGE(TableWomen10yr[WHR Score]))/STDEV(TableWomen10yr[WHR Score])</f>
        <v>-0.6651827808007853</v>
      </c>
      <c r="K34" s="17">
        <f>(TableWomen10yr[[#This Row],[WHR I+P Score]]-AVERAGE(TableWomen10yr[WHR I+P Score]))/STDEV(TableWomen10yr[WHR I+P Score])</f>
        <v>-0.63915172481287119</v>
      </c>
      <c r="L34" s="17">
        <f>(TableWomen10yr[[#This Row],[Method I+P Score]]-AVERAGE(TableWomen10yr[Method I+P Score]))/STDEV(TableWomen10yr[Method I+P Score])</f>
        <v>-5.3604778769169172E-2</v>
      </c>
      <c r="M34">
        <f>RANK(TableWomen10yr[[#This Row],[WHR Score]],TableWomen10yr[WHR Score],0)</f>
        <v>26</v>
      </c>
      <c r="N34">
        <f>RANK(TableWomen10yr[[#This Row],[WHR I+P Score]],TableWomen10yr[WHR I+P Score],0)</f>
        <v>26</v>
      </c>
      <c r="O34">
        <f>RANK(TableWomen10yr[[#This Row],[Method I+P Score]],TableWomen10yr[Method I+P Score],0)</f>
        <v>16</v>
      </c>
    </row>
    <row r="35" spans="4:15" x14ac:dyDescent="0.25">
      <c r="D35" t="s">
        <v>305</v>
      </c>
      <c r="E35" t="s">
        <v>281</v>
      </c>
      <c r="F35">
        <v>13</v>
      </c>
      <c r="G35">
        <v>1525.7</v>
      </c>
      <c r="H35">
        <v>1532.4</v>
      </c>
      <c r="I35">
        <v>1892.6</v>
      </c>
      <c r="J35" s="17">
        <f>(TableWomen10yr[[#This Row],[WHR Score]]-AVERAGE(TableWomen10yr[WHR Score]))/STDEV(TableWomen10yr[WHR Score])</f>
        <v>-0.67005200779353991</v>
      </c>
      <c r="K35" s="17">
        <f>(TableWomen10yr[[#This Row],[WHR I+P Score]]-AVERAGE(TableWomen10yr[WHR I+P Score]))/STDEV(TableWomen10yr[WHR I+P Score])</f>
        <v>-0.64311317520572597</v>
      </c>
      <c r="L35" s="17">
        <f>(TableWomen10yr[[#This Row],[Method I+P Score]]-AVERAGE(TableWomen10yr[Method I+P Score]))/STDEV(TableWomen10yr[Method I+P Score])</f>
        <v>9.9529948684409855E-3</v>
      </c>
      <c r="M35">
        <f>RANK(TableWomen10yr[[#This Row],[WHR Score]],TableWomen10yr[WHR Score],0)</f>
        <v>27</v>
      </c>
      <c r="N35">
        <f>RANK(TableWomen10yr[[#This Row],[WHR I+P Score]],TableWomen10yr[WHR I+P Score],0)</f>
        <v>27</v>
      </c>
      <c r="O35">
        <f>RANK(TableWomen10yr[[#This Row],[Method I+P Score]],TableWomen10yr[Method I+P Score],0)</f>
        <v>15</v>
      </c>
    </row>
    <row r="36" spans="4:15" x14ac:dyDescent="0.25">
      <c r="D36" t="s">
        <v>306</v>
      </c>
      <c r="E36" t="s">
        <v>281</v>
      </c>
      <c r="F36">
        <v>15</v>
      </c>
      <c r="G36">
        <v>1520.6</v>
      </c>
      <c r="H36">
        <v>1522.6</v>
      </c>
      <c r="I36" s="18">
        <v>1597.4</v>
      </c>
      <c r="J36" s="17">
        <f>(TableWomen10yr[[#This Row],[WHR Score]]-AVERAGE(TableWomen10yr[WHR Score]))/STDEV(TableWomen10yr[WHR Score])</f>
        <v>-0.71144043723196126</v>
      </c>
      <c r="K36" s="17">
        <f>(TableWomen10yr[[#This Row],[WHR I+P Score]]-AVERAGE(TableWomen10yr[WHR I+P Score]))/STDEV(TableWomen10yr[WHR I+P Score])</f>
        <v>-0.72075760290567947</v>
      </c>
      <c r="L36" s="17">
        <f>(TableWomen10yr[[#This Row],[Method I+P Score]]-AVERAGE(TableWomen10yr[Method I+P Score]))/STDEV(TableWomen10yr[Method I+P Score])</f>
        <v>-1.4222801942783252</v>
      </c>
      <c r="M36">
        <f>RANK(TableWomen10yr[[#This Row],[WHR Score]],TableWomen10yr[WHR Score],0)</f>
        <v>28</v>
      </c>
      <c r="N36">
        <f>RANK(TableWomen10yr[[#This Row],[WHR I+P Score]],TableWomen10yr[WHR I+P Score],0)</f>
        <v>28</v>
      </c>
      <c r="O36">
        <f>RANK(TableWomen10yr[[#This Row],[Method I+P Score]],TableWomen10yr[Method I+P Score],0)</f>
        <v>35</v>
      </c>
    </row>
    <row r="37" spans="4:15" x14ac:dyDescent="0.25">
      <c r="D37" t="s">
        <v>307</v>
      </c>
      <c r="E37" t="s">
        <v>277</v>
      </c>
      <c r="F37">
        <v>14</v>
      </c>
      <c r="G37">
        <v>1513.5</v>
      </c>
      <c r="H37">
        <v>1513.8</v>
      </c>
      <c r="I37">
        <v>1717.1</v>
      </c>
      <c r="J37" s="17">
        <f>(TableWomen10yr[[#This Row],[WHR Score]]-AVERAGE(TableWomen10yr[WHR Score]))/STDEV(TableWomen10yr[WHR Score])</f>
        <v>-0.76905962331289834</v>
      </c>
      <c r="K37" s="17">
        <f>(TableWomen10yr[[#This Row],[WHR I+P Score]]-AVERAGE(TableWomen10yr[WHR I+P Score]))/STDEV(TableWomen10yr[WHR I+P Score])</f>
        <v>-0.79047912981992186</v>
      </c>
      <c r="L37" s="17">
        <f>(TableWomen10yr[[#This Row],[Method I+P Score]]-AVERAGE(TableWomen10yr[Method I+P Score]))/STDEV(TableWomen10yr[Method I+P Score])</f>
        <v>-0.84152710233771622</v>
      </c>
      <c r="M37">
        <f>RANK(TableWomen10yr[[#This Row],[WHR Score]],TableWomen10yr[WHR Score],0)</f>
        <v>29</v>
      </c>
      <c r="N37">
        <f>RANK(TableWomen10yr[[#This Row],[WHR I+P Score]],TableWomen10yr[WHR I+P Score],0)</f>
        <v>29</v>
      </c>
      <c r="O37">
        <f>RANK(TableWomen10yr[[#This Row],[Method I+P Score]],TableWomen10yr[Method I+P Score],0)</f>
        <v>28</v>
      </c>
    </row>
    <row r="38" spans="4:15" x14ac:dyDescent="0.25">
      <c r="D38" t="s">
        <v>308</v>
      </c>
      <c r="E38" t="s">
        <v>279</v>
      </c>
      <c r="F38">
        <v>17</v>
      </c>
      <c r="G38">
        <v>1508.6</v>
      </c>
      <c r="H38">
        <v>1507.2</v>
      </c>
      <c r="I38" s="18">
        <v>1624.1</v>
      </c>
      <c r="J38" s="17">
        <f>(TableWomen10yr[[#This Row],[WHR Score]]-AVERAGE(TableWomen10yr[WHR Score]))/STDEV(TableWomen10yr[WHR Score])</f>
        <v>-0.80882497708706758</v>
      </c>
      <c r="K38" s="17">
        <f>(TableWomen10yr[[#This Row],[WHR I+P Score]]-AVERAGE(TableWomen10yr[WHR I+P Score]))/STDEV(TableWomen10yr[WHR I+P Score])</f>
        <v>-0.8427702750056032</v>
      </c>
      <c r="L38" s="17">
        <f>(TableWomen10yr[[#This Row],[Method I+P Score]]-AVERAGE(TableWomen10yr[Method I+P Score]))/STDEV(TableWomen10yr[Method I+P Score])</f>
        <v>-1.2927387777802952</v>
      </c>
      <c r="M38">
        <f>RANK(TableWomen10yr[[#This Row],[WHR Score]],TableWomen10yr[WHR Score],0)</f>
        <v>30</v>
      </c>
      <c r="N38">
        <f>RANK(TableWomen10yr[[#This Row],[WHR I+P Score]],TableWomen10yr[WHR I+P Score],0)</f>
        <v>30</v>
      </c>
      <c r="O38">
        <f>RANK(TableWomen10yr[[#This Row],[Method I+P Score]],TableWomen10yr[Method I+P Score],0)</f>
        <v>33</v>
      </c>
    </row>
    <row r="39" spans="4:15" x14ac:dyDescent="0.25">
      <c r="D39" t="s">
        <v>309</v>
      </c>
      <c r="E39" t="s">
        <v>281</v>
      </c>
      <c r="F39">
        <v>15</v>
      </c>
      <c r="G39" s="18">
        <v>1491.3</v>
      </c>
      <c r="H39" s="18">
        <v>1496.3</v>
      </c>
      <c r="I39">
        <v>1836.5</v>
      </c>
      <c r="J39" s="17">
        <f>(TableWomen10yr[[#This Row],[WHR Score]]-AVERAGE(TableWomen10yr[WHR Score]))/STDEV(TableWomen10yr[WHR Score])</f>
        <v>-0.94922102204484549</v>
      </c>
      <c r="K39" s="17">
        <f>(TableWomen10yr[[#This Row],[WHR I+P Score]]-AVERAGE(TableWomen10yr[WHR I+P Score]))/STDEV(TableWomen10yr[WHR I+P Score])</f>
        <v>-0.92912989356983633</v>
      </c>
      <c r="L39" s="17">
        <f>(TableWomen10yr[[#This Row],[Method I+P Score]]-AVERAGE(TableWomen10yr[Method I+P Score]))/STDEV(TableWomen10yr[Method I+P Score])</f>
        <v>-0.26222953193079174</v>
      </c>
      <c r="M39">
        <f>RANK(TableWomen10yr[[#This Row],[WHR Score]],TableWomen10yr[WHR Score],0)</f>
        <v>33</v>
      </c>
      <c r="N39">
        <f>RANK(TableWomen10yr[[#This Row],[WHR I+P Score]],TableWomen10yr[WHR I+P Score],0)</f>
        <v>32</v>
      </c>
      <c r="O39">
        <f>RANK(TableWomen10yr[[#This Row],[Method I+P Score]],TableWomen10yr[Method I+P Score],0)</f>
        <v>20</v>
      </c>
    </row>
    <row r="40" spans="4:15" x14ac:dyDescent="0.25">
      <c r="D40" t="s">
        <v>310</v>
      </c>
      <c r="E40" t="s">
        <v>281</v>
      </c>
      <c r="F40">
        <v>13</v>
      </c>
      <c r="G40" s="18">
        <v>1476.7</v>
      </c>
      <c r="H40" s="18">
        <v>1477.8</v>
      </c>
      <c r="I40">
        <v>1775.5</v>
      </c>
      <c r="J40" s="17">
        <f>(TableWomen10yr[[#This Row],[WHR Score]]-AVERAGE(TableWomen10yr[WHR Score]))/STDEV(TableWomen10yr[WHR Score])</f>
        <v>-1.0677055455352242</v>
      </c>
      <c r="K40" s="17">
        <f>(TableWomen10yr[[#This Row],[WHR I+P Score]]-AVERAGE(TableWomen10yr[WHR I+P Score]))/STDEV(TableWomen10yr[WHR I+P Score])</f>
        <v>-1.0757035581054604</v>
      </c>
      <c r="L40" s="17">
        <f>(TableWomen10yr[[#This Row],[Method I+P Score]]-AVERAGE(TableWomen10yr[Method I+P Score]))/STDEV(TableWomen10yr[Method I+P Score])</f>
        <v>-0.55818557711355865</v>
      </c>
      <c r="M40">
        <f>RANK(TableWomen10yr[[#This Row],[WHR Score]],TableWomen10yr[WHR Score],0)</f>
        <v>34</v>
      </c>
      <c r="N40">
        <f>RANK(TableWomen10yr[[#This Row],[WHR I+P Score]],TableWomen10yr[WHR I+P Score],0)</f>
        <v>34</v>
      </c>
      <c r="O40">
        <f>RANK(TableWomen10yr[[#This Row],[Method I+P Score]],TableWomen10yr[Method I+P Score],0)</f>
        <v>25</v>
      </c>
    </row>
    <row r="41" spans="4:15" x14ac:dyDescent="0.25">
      <c r="D41" t="s">
        <v>311</v>
      </c>
      <c r="E41" t="s">
        <v>277</v>
      </c>
      <c r="F41">
        <v>14</v>
      </c>
      <c r="G41" s="18">
        <v>1504.4</v>
      </c>
      <c r="H41" s="18">
        <v>1507.1</v>
      </c>
      <c r="I41">
        <v>1739.9</v>
      </c>
      <c r="J41" s="17">
        <f>(TableWomen10yr[[#This Row],[WHR Score]]-AVERAGE(TableWomen10yr[WHR Score]))/STDEV(TableWomen10yr[WHR Score])</f>
        <v>-0.84290956603635325</v>
      </c>
      <c r="K41" s="17">
        <f>(TableWomen10yr[[#This Row],[WHR I+P Score]]-AVERAGE(TableWomen10yr[WHR I+P Score]))/STDEV(TableWomen10yr[WHR I+P Score])</f>
        <v>-0.84356256508417526</v>
      </c>
      <c r="L41" s="17">
        <f>(TableWomen10yr[[#This Row],[Method I+P Score]]-AVERAGE(TableWomen10yr[Method I+P Score]))/STDEV(TableWomen10yr[Method I+P Score])</f>
        <v>-0.73090746577759924</v>
      </c>
      <c r="M41">
        <f>RANK(TableWomen10yr[[#This Row],[WHR Score]],TableWomen10yr[WHR Score],0)</f>
        <v>31</v>
      </c>
      <c r="N41">
        <f>RANK(TableWomen10yr[[#This Row],[WHR I+P Score]],TableWomen10yr[WHR I+P Score],0)</f>
        <v>31</v>
      </c>
      <c r="O41">
        <f>RANK(TableWomen10yr[[#This Row],[Method I+P Score]],TableWomen10yr[Method I+P Score],0)</f>
        <v>27</v>
      </c>
    </row>
    <row r="42" spans="4:15" x14ac:dyDescent="0.25">
      <c r="D42" t="s">
        <v>312</v>
      </c>
      <c r="E42" t="s">
        <v>277</v>
      </c>
      <c r="F42">
        <v>13</v>
      </c>
      <c r="G42" s="18">
        <v>1491.6</v>
      </c>
      <c r="H42" s="18">
        <v>1489.4</v>
      </c>
      <c r="I42">
        <v>1702.1</v>
      </c>
      <c r="J42" s="17">
        <f>(TableWomen10yr[[#This Row],[WHR Score]]-AVERAGE(TableWomen10yr[WHR Score]))/STDEV(TableWomen10yr[WHR Score])</f>
        <v>-0.94678640854846818</v>
      </c>
      <c r="K42" s="17">
        <f>(TableWomen10yr[[#This Row],[WHR I+P Score]]-AVERAGE(TableWomen10yr[WHR I+P Score]))/STDEV(TableWomen10yr[WHR I+P Score])</f>
        <v>-0.98379790899123021</v>
      </c>
      <c r="L42" s="17">
        <f>(TableWomen10yr[[#This Row],[Method I+P Score]]-AVERAGE(TableWomen10yr[Method I+P Score]))/STDEV(TableWomen10yr[Method I+P Score])</f>
        <v>-0.9143031790220032</v>
      </c>
      <c r="M42">
        <f>RANK(TableWomen10yr[[#This Row],[WHR Score]],TableWomen10yr[WHR Score],0)</f>
        <v>32</v>
      </c>
      <c r="N42">
        <f>RANK(TableWomen10yr[[#This Row],[WHR I+P Score]],TableWomen10yr[WHR I+P Score],0)</f>
        <v>33</v>
      </c>
      <c r="O42">
        <f>RANK(TableWomen10yr[[#This Row],[Method I+P Score]],TableWomen10yr[Method I+P Score],0)</f>
        <v>29</v>
      </c>
    </row>
    <row r="43" spans="4:15" x14ac:dyDescent="0.25">
      <c r="D43" t="s">
        <v>313</v>
      </c>
      <c r="E43" t="s">
        <v>279</v>
      </c>
      <c r="F43">
        <v>14</v>
      </c>
      <c r="G43" s="18">
        <v>1443.9</v>
      </c>
      <c r="H43" s="18">
        <v>1446.4</v>
      </c>
      <c r="I43">
        <v>1696.2</v>
      </c>
      <c r="J43" s="17">
        <f>(TableWomen10yr[[#This Row],[WHR Score]]-AVERAGE(TableWomen10yr[WHR Score]))/STDEV(TableWomen10yr[WHR Score])</f>
        <v>-1.3338899544725145</v>
      </c>
      <c r="K43" s="17">
        <f>(TableWomen10yr[[#This Row],[WHR I+P Score]]-AVERAGE(TableWomen10yr[WHR I+P Score]))/STDEV(TableWomen10yr[WHR I+P Score])</f>
        <v>-1.3244826427767344</v>
      </c>
      <c r="L43" s="17">
        <f>(TableWomen10yr[[#This Row],[Method I+P Score]]-AVERAGE(TableWomen10yr[Method I+P Score]))/STDEV(TableWomen10yr[Method I+P Score])</f>
        <v>-0.94292843585115538</v>
      </c>
      <c r="M43">
        <f>RANK(TableWomen10yr[[#This Row],[WHR Score]],TableWomen10yr[WHR Score],0)</f>
        <v>35</v>
      </c>
      <c r="N43">
        <f>RANK(TableWomen10yr[[#This Row],[WHR I+P Score]],TableWomen10yr[WHR I+P Score],0)</f>
        <v>35</v>
      </c>
      <c r="O43">
        <f>RANK(TableWomen10yr[[#This Row],[Method I+P Score]],TableWomen10yr[Method I+P Score],0)</f>
        <v>30</v>
      </c>
    </row>
  </sheetData>
  <pageMargins left="0.75" right="0.75" top="1" bottom="1" header="0.5" footer="0.5"/>
  <drawing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2:O54"/>
  <sheetViews>
    <sheetView workbookViewId="0">
      <selection activeCell="C6" sqref="C6:E14"/>
    </sheetView>
  </sheetViews>
  <sheetFormatPr defaultRowHeight="15" x14ac:dyDescent="0.25"/>
  <cols>
    <col min="1" max="1" width="10" customWidth="1"/>
    <col min="2" max="2" width="25" customWidth="1"/>
    <col min="3" max="3" width="11" customWidth="1"/>
    <col min="4" max="4" width="23" customWidth="1"/>
    <col min="5" max="5" width="22" customWidth="1"/>
    <col min="6" max="6" width="9" customWidth="1"/>
    <col min="7" max="7" width="15" customWidth="1"/>
    <col min="8" max="8" width="11" customWidth="1"/>
    <col min="9" max="10" width="14" customWidth="1"/>
    <col min="12" max="12" width="22" customWidth="1"/>
    <col min="13" max="14" width="12" customWidth="1"/>
    <col min="15" max="15" width="10" customWidth="1"/>
  </cols>
  <sheetData>
    <row r="2" spans="4:15" ht="31.5" customHeight="1" x14ac:dyDescent="0.5">
      <c r="D2" s="16" t="s">
        <v>314</v>
      </c>
    </row>
    <row r="8" spans="4:15" x14ac:dyDescent="0.25">
      <c r="D8" t="s">
        <v>2</v>
      </c>
      <c r="E8" t="s">
        <v>3</v>
      </c>
      <c r="F8" t="s">
        <v>4</v>
      </c>
      <c r="G8" t="s">
        <v>5</v>
      </c>
      <c r="H8" t="s">
        <v>21</v>
      </c>
      <c r="I8" t="s">
        <v>79</v>
      </c>
      <c r="J8" t="s">
        <v>90</v>
      </c>
      <c r="L8" s="19" t="s">
        <v>3</v>
      </c>
      <c r="M8" s="19" t="s">
        <v>17</v>
      </c>
      <c r="N8" s="19" t="s">
        <v>18</v>
      </c>
      <c r="O8" s="19" t="s">
        <v>19</v>
      </c>
    </row>
    <row r="9" spans="4:15" x14ac:dyDescent="0.25">
      <c r="D9" t="s">
        <v>280</v>
      </c>
      <c r="E9" t="s">
        <v>281</v>
      </c>
      <c r="F9">
        <v>13</v>
      </c>
      <c r="G9">
        <v>1838.7</v>
      </c>
      <c r="H9" s="17">
        <f>(TableWomenDiv[[#This Row],[WHR Score]]-AVERAGE(TableWomenDiv[WHR Score]))/STDEV(TableWomenDiv[WHR Score])</f>
        <v>2.0864965290970798</v>
      </c>
      <c r="I9">
        <f>RANK(TableWomenDiv[[#This Row],[WHR Score]],TableWomenDiv[WHR Score],0)</f>
        <v>3</v>
      </c>
      <c r="J9">
        <f>SUMPRODUCT((TableWomenDiv[Division]=TableWomenDiv[[#This Row],[Division]])*(TableWomenDiv[WHR Score]&gt;TableWomenDiv[[#This Row],[WHR Score]]))+1</f>
        <v>1</v>
      </c>
      <c r="L9" t="s">
        <v>281</v>
      </c>
      <c r="M9" s="20">
        <f>AVERAGEIF($E$9:$E$54,$L$9,$G$9:$G$54)</f>
        <v>1590.1315789473683</v>
      </c>
      <c r="N9" s="20">
        <f>_xlfn.MAXIFS($G$9:$G$54,$E$9:$E$54,$L$9)</f>
        <v>1838.7</v>
      </c>
      <c r="O9">
        <f>COUNTIF($E$9:$E$54,$L$9)</f>
        <v>19</v>
      </c>
    </row>
    <row r="10" spans="4:15" x14ac:dyDescent="0.25">
      <c r="D10" t="s">
        <v>282</v>
      </c>
      <c r="E10" t="s">
        <v>281</v>
      </c>
      <c r="F10">
        <v>15</v>
      </c>
      <c r="G10">
        <v>1832.8</v>
      </c>
      <c r="H10" s="17">
        <f>(TableWomenDiv[[#This Row],[WHR Score]]-AVERAGE(TableWomenDiv[WHR Score]))/STDEV(TableWomenDiv[WHR Score])</f>
        <v>2.0393057528279268</v>
      </c>
      <c r="I10">
        <f>RANK(TableWomenDiv[[#This Row],[WHR Score]],TableWomenDiv[WHR Score],0)</f>
        <v>4</v>
      </c>
      <c r="J10">
        <f>SUMPRODUCT((TableWomenDiv[Division]=TableWomenDiv[[#This Row],[Division]])*(TableWomenDiv[WHR Score]&gt;TableWomenDiv[[#This Row],[WHR Score]]))+1</f>
        <v>2</v>
      </c>
      <c r="L10" t="s">
        <v>279</v>
      </c>
      <c r="M10" s="20">
        <f>AVERAGEIF($E$9:$E$54,$L$10,$G$9:$G$54)</f>
        <v>1546.6071428571431</v>
      </c>
      <c r="N10" s="20">
        <f>_xlfn.MAXIFS($G$9:$G$54,$E$9:$E$54,$L$10)</f>
        <v>1912.7</v>
      </c>
      <c r="O10">
        <f>COUNTIF($E$9:$E$54,$L$10)</f>
        <v>14</v>
      </c>
    </row>
    <row r="11" spans="4:15" x14ac:dyDescent="0.25">
      <c r="D11" t="s">
        <v>283</v>
      </c>
      <c r="E11" t="s">
        <v>281</v>
      </c>
      <c r="F11">
        <v>19</v>
      </c>
      <c r="G11">
        <v>1774.9</v>
      </c>
      <c r="H11" s="17">
        <f>(TableWomenDiv[[#This Row],[WHR Score]]-AVERAGE(TableWomenDiv[WHR Score]))/STDEV(TableWomenDiv[WHR Score])</f>
        <v>1.5761962704577723</v>
      </c>
      <c r="I11">
        <f>RANK(TableWomenDiv[[#This Row],[WHR Score]],TableWomenDiv[WHR Score],0)</f>
        <v>5</v>
      </c>
      <c r="J11">
        <f>SUMPRODUCT((TableWomenDiv[Division]=TableWomenDiv[[#This Row],[Division]])*(TableWomenDiv[WHR Score]&gt;TableWomenDiv[[#This Row],[WHR Score]]))+1</f>
        <v>3</v>
      </c>
      <c r="L11" t="s">
        <v>277</v>
      </c>
      <c r="M11" s="20">
        <f>AVERAGEIF($E$9:$E$54,$L$11,$G$9:$G$54)</f>
        <v>1593.5</v>
      </c>
      <c r="N11" s="20">
        <f>_xlfn.MAXIFS($G$9:$G$54,$E$9:$E$54,$L$11)</f>
        <v>1966.2</v>
      </c>
      <c r="O11">
        <f>COUNTIF($E$9:$E$54,$L$11)</f>
        <v>13</v>
      </c>
    </row>
    <row r="12" spans="4:15" x14ac:dyDescent="0.25">
      <c r="D12" t="s">
        <v>284</v>
      </c>
      <c r="E12" t="s">
        <v>281</v>
      </c>
      <c r="F12">
        <v>16</v>
      </c>
      <c r="G12">
        <v>1680.1</v>
      </c>
      <c r="H12" s="17">
        <f>(TableWomenDiv[[#This Row],[WHR Score]]-AVERAGE(TableWomenDiv[WHR Score]))/STDEV(TableWomenDiv[WHR Score])</f>
        <v>0.81794447548901905</v>
      </c>
      <c r="I12">
        <f>RANK(TableWomenDiv[[#This Row],[WHR Score]],TableWomenDiv[WHR Score],0)</f>
        <v>6</v>
      </c>
      <c r="J12">
        <f>SUMPRODUCT((TableWomenDiv[Division]=TableWomenDiv[[#This Row],[Division]])*(TableWomenDiv[WHR Score]&gt;TableWomenDiv[[#This Row],[WHR Score]]))+1</f>
        <v>4</v>
      </c>
    </row>
    <row r="13" spans="4:15" x14ac:dyDescent="0.25">
      <c r="D13" t="s">
        <v>285</v>
      </c>
      <c r="E13" t="s">
        <v>281</v>
      </c>
      <c r="F13">
        <v>30</v>
      </c>
      <c r="G13">
        <v>1677.8</v>
      </c>
      <c r="H13" s="17">
        <f>(TableWomenDiv[[#This Row],[WHR Score]]-AVERAGE(TableWomenDiv[WHR Score]))/STDEV(TableWomenDiv[WHR Score])</f>
        <v>0.79954807118070581</v>
      </c>
      <c r="I13">
        <f>RANK(TableWomenDiv[[#This Row],[WHR Score]],TableWomenDiv[WHR Score],0)</f>
        <v>7</v>
      </c>
      <c r="J13">
        <f>SUMPRODUCT((TableWomenDiv[Division]=TableWomenDiv[[#This Row],[Division]])*(TableWomenDiv[WHR Score]&gt;TableWomenDiv[[#This Row],[WHR Score]]))+1</f>
        <v>5</v>
      </c>
    </row>
    <row r="14" spans="4:15" x14ac:dyDescent="0.25">
      <c r="D14" t="s">
        <v>289</v>
      </c>
      <c r="E14" t="s">
        <v>281</v>
      </c>
      <c r="F14">
        <v>13</v>
      </c>
      <c r="G14">
        <v>1617.5</v>
      </c>
      <c r="H14" s="17">
        <f>(TableWomenDiv[[#This Row],[WHR Score]]-AVERAGE(TableWomenDiv[WHR Score]))/STDEV(TableWomenDiv[WHR Score])</f>
        <v>0.31724234083665837</v>
      </c>
      <c r="I14">
        <f>RANK(TableWomenDiv[[#This Row],[WHR Score]],TableWomenDiv[WHR Score],0)</f>
        <v>12</v>
      </c>
      <c r="J14">
        <f>SUMPRODUCT((TableWomenDiv[Division]=TableWomenDiv[[#This Row],[Division]])*(TableWomenDiv[WHR Score]&gt;TableWomenDiv[[#This Row],[WHR Score]]))+1</f>
        <v>6</v>
      </c>
    </row>
    <row r="15" spans="4:15" x14ac:dyDescent="0.25">
      <c r="D15" t="s">
        <v>292</v>
      </c>
      <c r="E15" t="s">
        <v>281</v>
      </c>
      <c r="F15">
        <v>13</v>
      </c>
      <c r="G15">
        <v>1608.8</v>
      </c>
      <c r="H15" s="17">
        <f>(TableWomenDiv[[#This Row],[WHR Score]]-AVERAGE(TableWomenDiv[WHR Score]))/STDEV(TableWomenDiv[WHR Score])</f>
        <v>0.24765594193129786</v>
      </c>
      <c r="I15">
        <f>RANK(TableWomenDiv[[#This Row],[WHR Score]],TableWomenDiv[WHR Score],0)</f>
        <v>15</v>
      </c>
      <c r="J15">
        <f>SUMPRODUCT((TableWomenDiv[Division]=TableWomenDiv[[#This Row],[Division]])*(TableWomenDiv[WHR Score]&gt;TableWomenDiv[[#This Row],[WHR Score]]))+1</f>
        <v>7</v>
      </c>
    </row>
    <row r="16" spans="4:15" x14ac:dyDescent="0.25">
      <c r="D16" t="s">
        <v>293</v>
      </c>
      <c r="E16" t="s">
        <v>281</v>
      </c>
      <c r="F16">
        <v>16</v>
      </c>
      <c r="G16">
        <v>1607.1</v>
      </c>
      <c r="H16" s="17">
        <f>(TableWomenDiv[[#This Row],[WHR Score]]-AVERAGE(TableWomenDiv[WHR Score]))/STDEV(TableWomenDiv[WHR Score])</f>
        <v>0.234058599616457</v>
      </c>
      <c r="I16">
        <f>RANK(TableWomenDiv[[#This Row],[WHR Score]],TableWomenDiv[WHR Score],0)</f>
        <v>16</v>
      </c>
      <c r="J16">
        <f>SUMPRODUCT((TableWomenDiv[Division]=TableWomenDiv[[#This Row],[Division]])*(TableWomenDiv[WHR Score]&gt;TableWomenDiv[[#This Row],[WHR Score]]))+1</f>
        <v>8</v>
      </c>
    </row>
    <row r="17" spans="4:10" x14ac:dyDescent="0.25">
      <c r="D17" t="s">
        <v>296</v>
      </c>
      <c r="E17" t="s">
        <v>281</v>
      </c>
      <c r="F17">
        <v>15</v>
      </c>
      <c r="G17">
        <v>1577</v>
      </c>
      <c r="H17" s="17">
        <f>(TableWomenDiv[[#This Row],[WHR Score]]-AVERAGE(TableWomenDiv[WHR Score]))/STDEV(TableWomenDiv[WHR Score])</f>
        <v>-6.6943437227767561E-3</v>
      </c>
      <c r="I17">
        <f>RANK(TableWomenDiv[[#This Row],[WHR Score]],TableWomenDiv[WHR Score],0)</f>
        <v>19</v>
      </c>
      <c r="J17">
        <f>SUMPRODUCT((TableWomenDiv[Division]=TableWomenDiv[[#This Row],[Division]])*(TableWomenDiv[WHR Score]&gt;TableWomenDiv[[#This Row],[WHR Score]]))+1</f>
        <v>9</v>
      </c>
    </row>
    <row r="18" spans="4:10" x14ac:dyDescent="0.25">
      <c r="D18" t="s">
        <v>299</v>
      </c>
      <c r="E18" t="s">
        <v>281</v>
      </c>
      <c r="F18">
        <v>19</v>
      </c>
      <c r="G18">
        <v>1552.8</v>
      </c>
      <c r="H18" s="17">
        <f>(TableWomenDiv[[#This Row],[WHR Score]]-AVERAGE(TableWomenDiv[WHR Score]))/STDEV(TableWomenDiv[WHR Score])</f>
        <v>-0.20025651079285933</v>
      </c>
      <c r="I18">
        <f>RANK(TableWomenDiv[[#This Row],[WHR Score]],TableWomenDiv[WHR Score],0)</f>
        <v>22</v>
      </c>
      <c r="J18">
        <f>SUMPRODUCT((TableWomenDiv[Division]=TableWomenDiv[[#This Row],[Division]])*(TableWomenDiv[WHR Score]&gt;TableWomenDiv[[#This Row],[WHR Score]]))+1</f>
        <v>10</v>
      </c>
    </row>
    <row r="19" spans="4:10" x14ac:dyDescent="0.25">
      <c r="D19" t="s">
        <v>300</v>
      </c>
      <c r="E19" t="s">
        <v>281</v>
      </c>
      <c r="F19">
        <v>15</v>
      </c>
      <c r="G19">
        <v>1549.8</v>
      </c>
      <c r="H19" s="17">
        <f>(TableWomenDiv[[#This Row],[WHR Score]]-AVERAGE(TableWomenDiv[WHR Score]))/STDEV(TableWomenDiv[WHR Score])</f>
        <v>-0.2242518207602249</v>
      </c>
      <c r="I19">
        <f>RANK(TableWomenDiv[[#This Row],[WHR Score]],TableWomenDiv[WHR Score],0)</f>
        <v>23</v>
      </c>
      <c r="J19">
        <f>SUMPRODUCT((TableWomenDiv[Division]=TableWomenDiv[[#This Row],[Division]])*(TableWomenDiv[WHR Score]&gt;TableWomenDiv[[#This Row],[WHR Score]]))+1</f>
        <v>11</v>
      </c>
    </row>
    <row r="20" spans="4:10" x14ac:dyDescent="0.25">
      <c r="D20" t="s">
        <v>304</v>
      </c>
      <c r="E20" t="s">
        <v>281</v>
      </c>
      <c r="F20">
        <v>19</v>
      </c>
      <c r="G20">
        <v>1526.3</v>
      </c>
      <c r="H20" s="17">
        <f>(TableWomenDiv[[#This Row],[WHR Score]]-AVERAGE(TableWomenDiv[WHR Score]))/STDEV(TableWomenDiv[WHR Score])</f>
        <v>-0.41221508217125519</v>
      </c>
      <c r="I20">
        <f>RANK(TableWomenDiv[[#This Row],[WHR Score]],TableWomenDiv[WHR Score],0)</f>
        <v>27</v>
      </c>
      <c r="J20">
        <f>SUMPRODUCT((TableWomenDiv[Division]=TableWomenDiv[[#This Row],[Division]])*(TableWomenDiv[WHR Score]&gt;TableWomenDiv[[#This Row],[WHR Score]]))+1</f>
        <v>12</v>
      </c>
    </row>
    <row r="21" spans="4:10" x14ac:dyDescent="0.25">
      <c r="D21" t="s">
        <v>305</v>
      </c>
      <c r="E21" t="s">
        <v>281</v>
      </c>
      <c r="F21">
        <v>13</v>
      </c>
      <c r="G21">
        <v>1525.7</v>
      </c>
      <c r="H21" s="17">
        <f>(TableWomenDiv[[#This Row],[WHR Score]]-AVERAGE(TableWomenDiv[WHR Score]))/STDEV(TableWomenDiv[WHR Score])</f>
        <v>-0.41701414416472754</v>
      </c>
      <c r="I21">
        <f>RANK(TableWomenDiv[[#This Row],[WHR Score]],TableWomenDiv[WHR Score],0)</f>
        <v>28</v>
      </c>
      <c r="J21">
        <f>SUMPRODUCT((TableWomenDiv[Division]=TableWomenDiv[[#This Row],[Division]])*(TableWomenDiv[WHR Score]&gt;TableWomenDiv[[#This Row],[WHR Score]]))+1</f>
        <v>13</v>
      </c>
    </row>
    <row r="22" spans="4:10" x14ac:dyDescent="0.25">
      <c r="D22" t="s">
        <v>306</v>
      </c>
      <c r="E22" t="s">
        <v>281</v>
      </c>
      <c r="F22">
        <v>15</v>
      </c>
      <c r="G22">
        <v>1520.6</v>
      </c>
      <c r="H22" s="17">
        <f>(TableWomenDiv[[#This Row],[WHR Score]]-AVERAGE(TableWomenDiv[WHR Score]))/STDEV(TableWomenDiv[WHR Score])</f>
        <v>-0.45780617110925009</v>
      </c>
      <c r="I22">
        <f>RANK(TableWomenDiv[[#This Row],[WHR Score]],TableWomenDiv[WHR Score],0)</f>
        <v>29</v>
      </c>
      <c r="J22">
        <f>SUMPRODUCT((TableWomenDiv[Division]=TableWomenDiv[[#This Row],[Division]])*(TableWomenDiv[WHR Score]&gt;TableWomenDiv[[#This Row],[WHR Score]]))+1</f>
        <v>14</v>
      </c>
    </row>
    <row r="23" spans="4:10" x14ac:dyDescent="0.25">
      <c r="D23" t="s">
        <v>309</v>
      </c>
      <c r="E23" t="s">
        <v>281</v>
      </c>
      <c r="F23">
        <v>15</v>
      </c>
      <c r="G23">
        <v>1491.3</v>
      </c>
      <c r="H23" s="17">
        <f>(TableWomenDiv[[#This Row],[WHR Score]]-AVERAGE(TableWomenDiv[WHR Score]))/STDEV(TableWomenDiv[WHR Score])</f>
        <v>-0.69216036512385337</v>
      </c>
      <c r="I23">
        <f>RANK(TableWomenDiv[[#This Row],[WHR Score]],TableWomenDiv[WHR Score],0)</f>
        <v>36</v>
      </c>
      <c r="J23">
        <f>SUMPRODUCT((TableWomenDiv[Division]=TableWomenDiv[[#This Row],[Division]])*(TableWomenDiv[WHR Score]&gt;TableWomenDiv[[#This Row],[WHR Score]]))+1</f>
        <v>15</v>
      </c>
    </row>
    <row r="24" spans="4:10" x14ac:dyDescent="0.25">
      <c r="D24" t="s">
        <v>315</v>
      </c>
      <c r="E24" t="s">
        <v>281</v>
      </c>
      <c r="F24">
        <v>29</v>
      </c>
      <c r="G24">
        <v>1478.5</v>
      </c>
      <c r="H24" s="17">
        <f>(TableWomenDiv[[#This Row],[WHR Score]]-AVERAGE(TableWomenDiv[WHR Score]))/STDEV(TableWomenDiv[WHR Score])</f>
        <v>-0.79454035431794612</v>
      </c>
      <c r="I24">
        <f>RANK(TableWomenDiv[[#This Row],[WHR Score]],TableWomenDiv[WHR Score],0)</f>
        <v>38</v>
      </c>
      <c r="J24">
        <f>SUMPRODUCT((TableWomenDiv[Division]=TableWomenDiv[[#This Row],[Division]])*(TableWomenDiv[WHR Score]&gt;TableWomenDiv[[#This Row],[WHR Score]]))+1</f>
        <v>16</v>
      </c>
    </row>
    <row r="25" spans="4:10" x14ac:dyDescent="0.25">
      <c r="D25" t="s">
        <v>310</v>
      </c>
      <c r="E25" t="s">
        <v>281</v>
      </c>
      <c r="F25">
        <v>13</v>
      </c>
      <c r="G25">
        <v>1476.7</v>
      </c>
      <c r="H25" s="17">
        <f>(TableWomenDiv[[#This Row],[WHR Score]]-AVERAGE(TableWomenDiv[WHR Score]))/STDEV(TableWomenDiv[WHR Score])</f>
        <v>-0.80893754029836507</v>
      </c>
      <c r="I25">
        <f>RANK(TableWomenDiv[[#This Row],[WHR Score]],TableWomenDiv[WHR Score],0)</f>
        <v>39</v>
      </c>
      <c r="J25">
        <f>SUMPRODUCT((TableWomenDiv[Division]=TableWomenDiv[[#This Row],[Division]])*(TableWomenDiv[WHR Score]&gt;TableWomenDiv[[#This Row],[WHR Score]]))+1</f>
        <v>17</v>
      </c>
    </row>
    <row r="26" spans="4:10" x14ac:dyDescent="0.25">
      <c r="D26" t="s">
        <v>316</v>
      </c>
      <c r="E26" t="s">
        <v>281</v>
      </c>
      <c r="F26">
        <v>18</v>
      </c>
      <c r="G26">
        <v>1460.7</v>
      </c>
      <c r="H26" s="17">
        <f>(TableWomenDiv[[#This Row],[WHR Score]]-AVERAGE(TableWomenDiv[WHR Score]))/STDEV(TableWomenDiv[WHR Score])</f>
        <v>-0.93691252679098147</v>
      </c>
      <c r="I26">
        <f>RANK(TableWomenDiv[[#This Row],[WHR Score]],TableWomenDiv[WHR Score],0)</f>
        <v>40</v>
      </c>
      <c r="J26">
        <f>SUMPRODUCT((TableWomenDiv[Division]=TableWomenDiv[[#This Row],[Division]])*(TableWomenDiv[WHR Score]&gt;TableWomenDiv[[#This Row],[WHR Score]]))+1</f>
        <v>18</v>
      </c>
    </row>
    <row r="27" spans="4:10" x14ac:dyDescent="0.25">
      <c r="D27" t="s">
        <v>317</v>
      </c>
      <c r="E27" t="s">
        <v>281</v>
      </c>
      <c r="F27">
        <v>15</v>
      </c>
      <c r="G27">
        <v>1415.4</v>
      </c>
      <c r="H27" s="17">
        <f>(TableWomenDiv[[#This Row],[WHR Score]]-AVERAGE(TableWomenDiv[WHR Score]))/STDEV(TableWomenDiv[WHR Score])</f>
        <v>-1.2992417072982012</v>
      </c>
      <c r="I27">
        <f>RANK(TableWomenDiv[[#This Row],[WHR Score]],TableWomenDiv[WHR Score],0)</f>
        <v>45</v>
      </c>
      <c r="J27">
        <f>SUMPRODUCT((TableWomenDiv[Division]=TableWomenDiv[[#This Row],[Division]])*(TableWomenDiv[WHR Score]&gt;TableWomenDiv[[#This Row],[WHR Score]]))+1</f>
        <v>19</v>
      </c>
    </row>
    <row r="28" spans="4:10" x14ac:dyDescent="0.25">
      <c r="D28" t="s">
        <v>278</v>
      </c>
      <c r="E28" t="s">
        <v>279</v>
      </c>
      <c r="F28">
        <v>19</v>
      </c>
      <c r="G28">
        <v>1912.7</v>
      </c>
      <c r="H28" s="17">
        <f>(TableWomenDiv[[#This Row],[WHR Score]]-AVERAGE(TableWomenDiv[WHR Score]))/STDEV(TableWomenDiv[WHR Score])</f>
        <v>2.6783808416254304</v>
      </c>
      <c r="I28">
        <f>RANK(TableWomenDiv[[#This Row],[WHR Score]],TableWomenDiv[WHR Score],0)</f>
        <v>2</v>
      </c>
      <c r="J28">
        <f>SUMPRODUCT((TableWomenDiv[Division]=TableWomenDiv[[#This Row],[Division]])*(TableWomenDiv[WHR Score]&gt;TableWomenDiv[[#This Row],[WHR Score]]))+1</f>
        <v>1</v>
      </c>
    </row>
    <row r="29" spans="4:10" x14ac:dyDescent="0.25">
      <c r="D29" t="s">
        <v>287</v>
      </c>
      <c r="E29" t="s">
        <v>279</v>
      </c>
      <c r="F29">
        <v>15</v>
      </c>
      <c r="G29">
        <v>1649.6</v>
      </c>
      <c r="H29" s="17">
        <f>(TableWomenDiv[[#This Row],[WHR Score]]-AVERAGE(TableWomenDiv[WHR Score]))/STDEV(TableWomenDiv[WHR Score])</f>
        <v>0.57399215748746923</v>
      </c>
      <c r="I29">
        <f>RANK(TableWomenDiv[[#This Row],[WHR Score]],TableWomenDiv[WHR Score],0)</f>
        <v>10</v>
      </c>
      <c r="J29">
        <f>SUMPRODUCT((TableWomenDiv[Division]=TableWomenDiv[[#This Row],[Division]])*(TableWomenDiv[WHR Score]&gt;TableWomenDiv[[#This Row],[WHR Score]]))+1</f>
        <v>2</v>
      </c>
    </row>
    <row r="30" spans="4:10" x14ac:dyDescent="0.25">
      <c r="D30" t="s">
        <v>290</v>
      </c>
      <c r="E30" t="s">
        <v>279</v>
      </c>
      <c r="F30">
        <v>13</v>
      </c>
      <c r="G30">
        <v>1617.3</v>
      </c>
      <c r="H30" s="17">
        <f>(TableWomenDiv[[#This Row],[WHR Score]]-AVERAGE(TableWomenDiv[WHR Score]))/STDEV(TableWomenDiv[WHR Score])</f>
        <v>0.3156426535055003</v>
      </c>
      <c r="I30">
        <f>RANK(TableWomenDiv[[#This Row],[WHR Score]],TableWomenDiv[WHR Score],0)</f>
        <v>13</v>
      </c>
      <c r="J30">
        <f>SUMPRODUCT((TableWomenDiv[Division]=TableWomenDiv[[#This Row],[Division]])*(TableWomenDiv[WHR Score]&gt;TableWomenDiv[[#This Row],[WHR Score]]))+1</f>
        <v>3</v>
      </c>
    </row>
    <row r="31" spans="4:10" x14ac:dyDescent="0.25">
      <c r="D31" t="s">
        <v>291</v>
      </c>
      <c r="E31" t="s">
        <v>279</v>
      </c>
      <c r="F31">
        <v>17</v>
      </c>
      <c r="G31">
        <v>1615.2</v>
      </c>
      <c r="H31" s="17">
        <f>(TableWomenDiv[[#This Row],[WHR Score]]-AVERAGE(TableWomenDiv[WHR Score]))/STDEV(TableWomenDiv[WHR Score])</f>
        <v>0.29884593652834512</v>
      </c>
      <c r="I31">
        <f>RANK(TableWomenDiv[[#This Row],[WHR Score]],TableWomenDiv[WHR Score],0)</f>
        <v>14</v>
      </c>
      <c r="J31">
        <f>SUMPRODUCT((TableWomenDiv[Division]=TableWomenDiv[[#This Row],[Division]])*(TableWomenDiv[WHR Score]&gt;TableWomenDiv[[#This Row],[WHR Score]]))+1</f>
        <v>4</v>
      </c>
    </row>
    <row r="32" spans="4:10" x14ac:dyDescent="0.25">
      <c r="D32" t="s">
        <v>297</v>
      </c>
      <c r="E32" t="s">
        <v>279</v>
      </c>
      <c r="F32">
        <v>20</v>
      </c>
      <c r="G32">
        <v>1574.7</v>
      </c>
      <c r="H32" s="17">
        <f>(TableWomenDiv[[#This Row],[WHR Score]]-AVERAGE(TableWomenDiv[WHR Score]))/STDEV(TableWomenDiv[WHR Score])</f>
        <v>-2.5090748031089991E-2</v>
      </c>
      <c r="I32">
        <f>RANK(TableWomenDiv[[#This Row],[WHR Score]],TableWomenDiv[WHR Score],0)</f>
        <v>20</v>
      </c>
      <c r="J32">
        <f>SUMPRODUCT((TableWomenDiv[Division]=TableWomenDiv[[#This Row],[Division]])*(TableWomenDiv[WHR Score]&gt;TableWomenDiv[[#This Row],[WHR Score]]))+1</f>
        <v>5</v>
      </c>
    </row>
    <row r="33" spans="4:10" x14ac:dyDescent="0.25">
      <c r="D33" t="s">
        <v>303</v>
      </c>
      <c r="E33" t="s">
        <v>279</v>
      </c>
      <c r="F33">
        <v>13</v>
      </c>
      <c r="G33">
        <v>1526.5</v>
      </c>
      <c r="H33" s="17">
        <f>(TableWomenDiv[[#This Row],[WHR Score]]-AVERAGE(TableWomenDiv[WHR Score]))/STDEV(TableWomenDiv[WHR Score])</f>
        <v>-0.41061539484009707</v>
      </c>
      <c r="I33">
        <f>RANK(TableWomenDiv[[#This Row],[WHR Score]],TableWomenDiv[WHR Score],0)</f>
        <v>26</v>
      </c>
      <c r="J33">
        <f>SUMPRODUCT((TableWomenDiv[Division]=TableWomenDiv[[#This Row],[Division]])*(TableWomenDiv[WHR Score]&gt;TableWomenDiv[[#This Row],[WHR Score]]))+1</f>
        <v>6</v>
      </c>
    </row>
    <row r="34" spans="4:10" x14ac:dyDescent="0.25">
      <c r="D34" t="s">
        <v>308</v>
      </c>
      <c r="E34" t="s">
        <v>279</v>
      </c>
      <c r="F34">
        <v>17</v>
      </c>
      <c r="G34">
        <v>1508.6</v>
      </c>
      <c r="H34" s="17">
        <f>(TableWomenDiv[[#This Row],[WHR Score]]-AVERAGE(TableWomenDiv[WHR Score]))/STDEV(TableWomenDiv[WHR Score])</f>
        <v>-0.55378741097871231</v>
      </c>
      <c r="I34">
        <f>RANK(TableWomenDiv[[#This Row],[WHR Score]],TableWomenDiv[WHR Score],0)</f>
        <v>31</v>
      </c>
      <c r="J34">
        <f>SUMPRODUCT((TableWomenDiv[Division]=TableWomenDiv[[#This Row],[Division]])*(TableWomenDiv[WHR Score]&gt;TableWomenDiv[[#This Row],[WHR Score]]))+1</f>
        <v>7</v>
      </c>
    </row>
    <row r="35" spans="4:10" x14ac:dyDescent="0.25">
      <c r="D35" t="s">
        <v>318</v>
      </c>
      <c r="E35" t="s">
        <v>279</v>
      </c>
      <c r="F35">
        <v>15</v>
      </c>
      <c r="G35">
        <v>1502.8</v>
      </c>
      <c r="H35" s="17">
        <f>(TableWomenDiv[[#This Row],[WHR Score]]-AVERAGE(TableWomenDiv[WHR Score]))/STDEV(TableWomenDiv[WHR Score])</f>
        <v>-0.60017834358228539</v>
      </c>
      <c r="I35">
        <f>RANK(TableWomenDiv[[#This Row],[WHR Score]],TableWomenDiv[WHR Score],0)</f>
        <v>33</v>
      </c>
      <c r="J35">
        <f>SUMPRODUCT((TableWomenDiv[Division]=TableWomenDiv[[#This Row],[Division]])*(TableWomenDiv[WHR Score]&gt;TableWomenDiv[[#This Row],[WHR Score]]))+1</f>
        <v>8</v>
      </c>
    </row>
    <row r="36" spans="4:10" x14ac:dyDescent="0.25">
      <c r="D36" t="s">
        <v>319</v>
      </c>
      <c r="E36" t="s">
        <v>279</v>
      </c>
      <c r="F36">
        <v>17</v>
      </c>
      <c r="G36">
        <v>1500.6</v>
      </c>
      <c r="H36" s="17">
        <f>(TableWomenDiv[[#This Row],[WHR Score]]-AVERAGE(TableWomenDiv[WHR Score]))/STDEV(TableWomenDiv[WHR Score])</f>
        <v>-0.61777490422502057</v>
      </c>
      <c r="I36">
        <f>RANK(TableWomenDiv[[#This Row],[WHR Score]],TableWomenDiv[WHR Score],0)</f>
        <v>34</v>
      </c>
      <c r="J36">
        <f>SUMPRODUCT((TableWomenDiv[Division]=TableWomenDiv[[#This Row],[Division]])*(TableWomenDiv[WHR Score]&gt;TableWomenDiv[[#This Row],[WHR Score]]))+1</f>
        <v>9</v>
      </c>
    </row>
    <row r="37" spans="4:10" x14ac:dyDescent="0.25">
      <c r="D37" t="s">
        <v>320</v>
      </c>
      <c r="E37" t="s">
        <v>279</v>
      </c>
      <c r="F37">
        <v>15</v>
      </c>
      <c r="G37">
        <v>1489.2</v>
      </c>
      <c r="H37" s="17">
        <f>(TableWomenDiv[[#This Row],[WHR Score]]-AVERAGE(TableWomenDiv[WHR Score]))/STDEV(TableWomenDiv[WHR Score])</f>
        <v>-0.70895708210100861</v>
      </c>
      <c r="I37">
        <f>RANK(TableWomenDiv[[#This Row],[WHR Score]],TableWomenDiv[WHR Score],0)</f>
        <v>37</v>
      </c>
      <c r="J37">
        <f>SUMPRODUCT((TableWomenDiv[Division]=TableWomenDiv[[#This Row],[Division]])*(TableWomenDiv[WHR Score]&gt;TableWomenDiv[[#This Row],[WHR Score]]))+1</f>
        <v>10</v>
      </c>
    </row>
    <row r="38" spans="4:10" x14ac:dyDescent="0.25">
      <c r="D38" t="s">
        <v>321</v>
      </c>
      <c r="E38" t="s">
        <v>279</v>
      </c>
      <c r="F38">
        <v>14</v>
      </c>
      <c r="G38">
        <v>1456.7</v>
      </c>
      <c r="H38" s="17">
        <f>(TableWomenDiv[[#This Row],[WHR Score]]-AVERAGE(TableWomenDiv[WHR Score]))/STDEV(TableWomenDiv[WHR Score])</f>
        <v>-0.96890627341413549</v>
      </c>
      <c r="I38">
        <f>RANK(TableWomenDiv[[#This Row],[WHR Score]],TableWomenDiv[WHR Score],0)</f>
        <v>41</v>
      </c>
      <c r="J38">
        <f>SUMPRODUCT((TableWomenDiv[Division]=TableWomenDiv[[#This Row],[Division]])*(TableWomenDiv[WHR Score]&gt;TableWomenDiv[[#This Row],[WHR Score]]))+1</f>
        <v>11</v>
      </c>
    </row>
    <row r="39" spans="4:10" x14ac:dyDescent="0.25">
      <c r="D39" t="s">
        <v>313</v>
      </c>
      <c r="E39" t="s">
        <v>279</v>
      </c>
      <c r="F39">
        <v>14</v>
      </c>
      <c r="G39">
        <v>1443.9</v>
      </c>
      <c r="H39" s="17">
        <f>(TableWomenDiv[[#This Row],[WHR Score]]-AVERAGE(TableWomenDiv[WHR Score]))/STDEV(TableWomenDiv[WHR Score])</f>
        <v>-1.0712862626082282</v>
      </c>
      <c r="I39">
        <f>RANK(TableWomenDiv[[#This Row],[WHR Score]],TableWomenDiv[WHR Score],0)</f>
        <v>43</v>
      </c>
      <c r="J39">
        <f>SUMPRODUCT((TableWomenDiv[Division]=TableWomenDiv[[#This Row],[Division]])*(TableWomenDiv[WHR Score]&gt;TableWomenDiv[[#This Row],[WHR Score]]))+1</f>
        <v>12</v>
      </c>
    </row>
    <row r="40" spans="4:10" x14ac:dyDescent="0.25">
      <c r="D40" t="s">
        <v>322</v>
      </c>
      <c r="E40" t="s">
        <v>279</v>
      </c>
      <c r="F40">
        <v>14</v>
      </c>
      <c r="G40">
        <v>1442.9</v>
      </c>
      <c r="H40" s="17">
        <f>(TableWomenDiv[[#This Row],[WHR Score]]-AVERAGE(TableWomenDiv[WHR Score]))/STDEV(TableWomenDiv[WHR Score])</f>
        <v>-1.0792846992640168</v>
      </c>
      <c r="I40">
        <f>RANK(TableWomenDiv[[#This Row],[WHR Score]],TableWomenDiv[WHR Score],0)</f>
        <v>44</v>
      </c>
      <c r="J40">
        <f>SUMPRODUCT((TableWomenDiv[Division]=TableWomenDiv[[#This Row],[Division]])*(TableWomenDiv[WHR Score]&gt;TableWomenDiv[[#This Row],[WHR Score]]))+1</f>
        <v>13</v>
      </c>
    </row>
    <row r="41" spans="4:10" x14ac:dyDescent="0.25">
      <c r="D41" t="s">
        <v>323</v>
      </c>
      <c r="E41" t="s">
        <v>279</v>
      </c>
      <c r="F41">
        <v>13</v>
      </c>
      <c r="G41">
        <v>1411.8</v>
      </c>
      <c r="H41" s="17">
        <f>(TableWomenDiv[[#This Row],[WHR Score]]-AVERAGE(TableWomenDiv[WHR Score]))/STDEV(TableWomenDiv[WHR Score])</f>
        <v>-1.3280360792590409</v>
      </c>
      <c r="I41">
        <f>RANK(TableWomenDiv[[#This Row],[WHR Score]],TableWomenDiv[WHR Score],0)</f>
        <v>46</v>
      </c>
      <c r="J41">
        <f>SUMPRODUCT((TableWomenDiv[Division]=TableWomenDiv[[#This Row],[Division]])*(TableWomenDiv[WHR Score]&gt;TableWomenDiv[[#This Row],[WHR Score]]))+1</f>
        <v>14</v>
      </c>
    </row>
    <row r="42" spans="4:10" x14ac:dyDescent="0.25">
      <c r="D42" t="s">
        <v>276</v>
      </c>
      <c r="E42" t="s">
        <v>277</v>
      </c>
      <c r="F42">
        <v>18</v>
      </c>
      <c r="G42">
        <v>1966.2</v>
      </c>
      <c r="H42" s="17">
        <f>(TableWomenDiv[[#This Row],[WHR Score]]-AVERAGE(TableWomenDiv[WHR Score]))/STDEV(TableWomenDiv[WHR Score])</f>
        <v>3.1062972027101163</v>
      </c>
      <c r="I42">
        <f>RANK(TableWomenDiv[[#This Row],[WHR Score]],TableWomenDiv[WHR Score],0)</f>
        <v>1</v>
      </c>
      <c r="J42">
        <f>SUMPRODUCT((TableWomenDiv[Division]=TableWomenDiv[[#This Row],[Division]])*(TableWomenDiv[WHR Score]&gt;TableWomenDiv[[#This Row],[WHR Score]]))+1</f>
        <v>1</v>
      </c>
    </row>
    <row r="43" spans="4:10" x14ac:dyDescent="0.25">
      <c r="D43" t="s">
        <v>324</v>
      </c>
      <c r="E43" t="s">
        <v>277</v>
      </c>
      <c r="F43">
        <v>12</v>
      </c>
      <c r="G43">
        <v>1677.2</v>
      </c>
      <c r="H43" s="17">
        <f>(TableWomenDiv[[#This Row],[WHR Score]]-AVERAGE(TableWomenDiv[WHR Score]))/STDEV(TableWomenDiv[WHR Score])</f>
        <v>0.79474900918723346</v>
      </c>
      <c r="I43">
        <f>RANK(TableWomenDiv[[#This Row],[WHR Score]],TableWomenDiv[WHR Score],0)</f>
        <v>8</v>
      </c>
      <c r="J43">
        <f>SUMPRODUCT((TableWomenDiv[Division]=TableWomenDiv[[#This Row],[Division]])*(TableWomenDiv[WHR Score]&gt;TableWomenDiv[[#This Row],[WHR Score]]))+1</f>
        <v>2</v>
      </c>
    </row>
    <row r="44" spans="4:10" x14ac:dyDescent="0.25">
      <c r="D44" t="s">
        <v>286</v>
      </c>
      <c r="E44" t="s">
        <v>277</v>
      </c>
      <c r="F44">
        <v>19</v>
      </c>
      <c r="G44">
        <v>1651.2</v>
      </c>
      <c r="H44" s="17">
        <f>(TableWomenDiv[[#This Row],[WHR Score]]-AVERAGE(TableWomenDiv[WHR Score]))/STDEV(TableWomenDiv[WHR Score])</f>
        <v>0.58678965613673195</v>
      </c>
      <c r="I44">
        <f>RANK(TableWomenDiv[[#This Row],[WHR Score]],TableWomenDiv[WHR Score],0)</f>
        <v>9</v>
      </c>
      <c r="J44">
        <f>SUMPRODUCT((TableWomenDiv[Division]=TableWomenDiv[[#This Row],[Division]])*(TableWomenDiv[WHR Score]&gt;TableWomenDiv[[#This Row],[WHR Score]]))+1</f>
        <v>3</v>
      </c>
    </row>
    <row r="45" spans="4:10" x14ac:dyDescent="0.25">
      <c r="D45" t="s">
        <v>288</v>
      </c>
      <c r="E45" t="s">
        <v>277</v>
      </c>
      <c r="F45">
        <v>15</v>
      </c>
      <c r="G45">
        <v>1640.2</v>
      </c>
      <c r="H45" s="17">
        <f>(TableWomenDiv[[#This Row],[WHR Score]]-AVERAGE(TableWomenDiv[WHR Score]))/STDEV(TableWomenDiv[WHR Score])</f>
        <v>0.49880685292305815</v>
      </c>
      <c r="I45">
        <f>RANK(TableWomenDiv[[#This Row],[WHR Score]],TableWomenDiv[WHR Score],0)</f>
        <v>11</v>
      </c>
      <c r="J45">
        <f>SUMPRODUCT((TableWomenDiv[Division]=TableWomenDiv[[#This Row],[Division]])*(TableWomenDiv[WHR Score]&gt;TableWomenDiv[[#This Row],[WHR Score]]))+1</f>
        <v>4</v>
      </c>
    </row>
    <row r="46" spans="4:10" x14ac:dyDescent="0.25">
      <c r="D46" t="s">
        <v>294</v>
      </c>
      <c r="E46" t="s">
        <v>277</v>
      </c>
      <c r="F46">
        <v>14</v>
      </c>
      <c r="G46">
        <v>1584.2</v>
      </c>
      <c r="H46" s="17">
        <f>(TableWomenDiv[[#This Row],[WHR Score]]-AVERAGE(TableWomenDiv[WHR Score]))/STDEV(TableWomenDiv[WHR Score])</f>
        <v>5.0894400198900965E-2</v>
      </c>
      <c r="I46">
        <f>RANK(TableWomenDiv[[#This Row],[WHR Score]],TableWomenDiv[WHR Score],0)</f>
        <v>17</v>
      </c>
      <c r="J46">
        <f>SUMPRODUCT((TableWomenDiv[Division]=TableWomenDiv[[#This Row],[Division]])*(TableWomenDiv[WHR Score]&gt;TableWomenDiv[[#This Row],[WHR Score]]))+1</f>
        <v>5</v>
      </c>
    </row>
    <row r="47" spans="4:10" x14ac:dyDescent="0.25">
      <c r="D47" t="s">
        <v>295</v>
      </c>
      <c r="E47" t="s">
        <v>277</v>
      </c>
      <c r="F47">
        <v>14</v>
      </c>
      <c r="G47">
        <v>1578.1</v>
      </c>
      <c r="H47" s="17">
        <f>(TableWomenDiv[[#This Row],[WHR Score]]-AVERAGE(TableWomenDiv[WHR Score]))/STDEV(TableWomenDiv[WHR Score])</f>
        <v>2.1039365985898902E-3</v>
      </c>
      <c r="I47">
        <f>RANK(TableWomenDiv[[#This Row],[WHR Score]],TableWomenDiv[WHR Score],0)</f>
        <v>18</v>
      </c>
      <c r="J47">
        <f>SUMPRODUCT((TableWomenDiv[Division]=TableWomenDiv[[#This Row],[Division]])*(TableWomenDiv[WHR Score]&gt;TableWomenDiv[[#This Row],[WHR Score]]))+1</f>
        <v>6</v>
      </c>
    </row>
    <row r="48" spans="4:10" x14ac:dyDescent="0.25">
      <c r="D48" t="s">
        <v>298</v>
      </c>
      <c r="E48" t="s">
        <v>277</v>
      </c>
      <c r="F48">
        <v>14</v>
      </c>
      <c r="G48">
        <v>1565.1</v>
      </c>
      <c r="H48" s="17">
        <f>(TableWomenDiv[[#This Row],[WHR Score]]-AVERAGE(TableWomenDiv[WHR Score]))/STDEV(TableWomenDiv[WHR Score])</f>
        <v>-0.10187573992666089</v>
      </c>
      <c r="I48">
        <f>RANK(TableWomenDiv[[#This Row],[WHR Score]],TableWomenDiv[WHR Score],0)</f>
        <v>21</v>
      </c>
      <c r="J48">
        <f>SUMPRODUCT((TableWomenDiv[Division]=TableWomenDiv[[#This Row],[Division]])*(TableWomenDiv[WHR Score]&gt;TableWomenDiv[[#This Row],[WHR Score]]))+1</f>
        <v>7</v>
      </c>
    </row>
    <row r="49" spans="4:10" x14ac:dyDescent="0.25">
      <c r="D49" t="s">
        <v>301</v>
      </c>
      <c r="E49" t="s">
        <v>277</v>
      </c>
      <c r="F49">
        <v>13</v>
      </c>
      <c r="G49">
        <v>1545.3</v>
      </c>
      <c r="H49" s="17">
        <f>(TableWomenDiv[[#This Row],[WHR Score]]-AVERAGE(TableWomenDiv[WHR Score]))/STDEV(TableWomenDiv[WHR Score])</f>
        <v>-0.26024478571127324</v>
      </c>
      <c r="I49">
        <f>RANK(TableWomenDiv[[#This Row],[WHR Score]],TableWomenDiv[WHR Score],0)</f>
        <v>24</v>
      </c>
      <c r="J49">
        <f>SUMPRODUCT((TableWomenDiv[Division]=TableWomenDiv[[#This Row],[Division]])*(TableWomenDiv[WHR Score]&gt;TableWomenDiv[[#This Row],[WHR Score]]))+1</f>
        <v>8</v>
      </c>
    </row>
    <row r="50" spans="4:10" x14ac:dyDescent="0.25">
      <c r="D50" t="s">
        <v>302</v>
      </c>
      <c r="E50" t="s">
        <v>277</v>
      </c>
      <c r="F50">
        <v>13</v>
      </c>
      <c r="G50">
        <v>1543.1</v>
      </c>
      <c r="H50" s="17">
        <f>(TableWomenDiv[[#This Row],[WHR Score]]-AVERAGE(TableWomenDiv[WHR Score]))/STDEV(TableWomenDiv[WHR Score])</f>
        <v>-0.27784134635400837</v>
      </c>
      <c r="I50">
        <f>RANK(TableWomenDiv[[#This Row],[WHR Score]],TableWomenDiv[WHR Score],0)</f>
        <v>25</v>
      </c>
      <c r="J50">
        <f>SUMPRODUCT((TableWomenDiv[Division]=TableWomenDiv[[#This Row],[Division]])*(TableWomenDiv[WHR Score]&gt;TableWomenDiv[[#This Row],[WHR Score]]))+1</f>
        <v>9</v>
      </c>
    </row>
    <row r="51" spans="4:10" x14ac:dyDescent="0.25">
      <c r="D51" t="s">
        <v>307</v>
      </c>
      <c r="E51" t="s">
        <v>277</v>
      </c>
      <c r="F51">
        <v>14</v>
      </c>
      <c r="G51">
        <v>1513.5</v>
      </c>
      <c r="H51" s="17">
        <f>(TableWomenDiv[[#This Row],[WHR Score]]-AVERAGE(TableWomenDiv[WHR Score]))/STDEV(TableWomenDiv[WHR Score])</f>
        <v>-0.51459507136534788</v>
      </c>
      <c r="I51">
        <f>RANK(TableWomenDiv[[#This Row],[WHR Score]],TableWomenDiv[WHR Score],0)</f>
        <v>30</v>
      </c>
      <c r="J51">
        <f>SUMPRODUCT((TableWomenDiv[Division]=TableWomenDiv[[#This Row],[Division]])*(TableWomenDiv[WHR Score]&gt;TableWomenDiv[[#This Row],[WHR Score]]))+1</f>
        <v>10</v>
      </c>
    </row>
    <row r="52" spans="4:10" x14ac:dyDescent="0.25">
      <c r="D52" t="s">
        <v>311</v>
      </c>
      <c r="E52" t="s">
        <v>277</v>
      </c>
      <c r="F52">
        <v>14</v>
      </c>
      <c r="G52">
        <v>1504.4</v>
      </c>
      <c r="H52" s="17">
        <f>(TableWomenDiv[[#This Row],[WHR Score]]-AVERAGE(TableWomenDiv[WHR Score]))/STDEV(TableWomenDiv[WHR Score])</f>
        <v>-0.58738084493302267</v>
      </c>
      <c r="I52">
        <f>RANK(TableWomenDiv[[#This Row],[WHR Score]],TableWomenDiv[WHR Score],0)</f>
        <v>32</v>
      </c>
      <c r="J52">
        <f>SUMPRODUCT((TableWomenDiv[Division]=TableWomenDiv[[#This Row],[Division]])*(TableWomenDiv[WHR Score]&gt;TableWomenDiv[[#This Row],[WHR Score]]))+1</f>
        <v>11</v>
      </c>
    </row>
    <row r="53" spans="4:10" x14ac:dyDescent="0.25">
      <c r="D53" t="s">
        <v>312</v>
      </c>
      <c r="E53" t="s">
        <v>277</v>
      </c>
      <c r="F53">
        <v>13</v>
      </c>
      <c r="G53">
        <v>1491.6</v>
      </c>
      <c r="H53" s="17">
        <f>(TableWomenDiv[[#This Row],[WHR Score]]-AVERAGE(TableWomenDiv[WHR Score]))/STDEV(TableWomenDiv[WHR Score])</f>
        <v>-0.6897608341271172</v>
      </c>
      <c r="I53">
        <f>RANK(TableWomenDiv[[#This Row],[WHR Score]],TableWomenDiv[WHR Score],0)</f>
        <v>35</v>
      </c>
      <c r="J53">
        <f>SUMPRODUCT((TableWomenDiv[Division]=TableWomenDiv[[#This Row],[Division]])*(TableWomenDiv[WHR Score]&gt;TableWomenDiv[[#This Row],[WHR Score]]))+1</f>
        <v>12</v>
      </c>
    </row>
    <row r="54" spans="4:10" x14ac:dyDescent="0.25">
      <c r="D54" t="s">
        <v>325</v>
      </c>
      <c r="E54" t="s">
        <v>277</v>
      </c>
      <c r="F54">
        <v>13</v>
      </c>
      <c r="G54">
        <v>1455.4</v>
      </c>
      <c r="H54" s="17">
        <f>(TableWomenDiv[[#This Row],[WHR Score]]-AVERAGE(TableWomenDiv[WHR Score]))/STDEV(TableWomenDiv[WHR Score])</f>
        <v>-0.97930424106666025</v>
      </c>
      <c r="I54">
        <f>RANK(TableWomenDiv[[#This Row],[WHR Score]],TableWomenDiv[WHR Score],0)</f>
        <v>42</v>
      </c>
      <c r="J54">
        <f>SUMPRODUCT((TableWomenDiv[Division]=TableWomenDiv[[#This Row],[Division]])*(TableWomenDiv[WHR Score]&gt;TableWomenDiv[[#This Row],[WHR Score]]))+1</f>
        <v>13</v>
      </c>
    </row>
  </sheetData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2:T44"/>
  <sheetViews>
    <sheetView workbookViewId="0">
      <selection activeCell="D24" sqref="D24"/>
    </sheetView>
  </sheetViews>
  <sheetFormatPr defaultRowHeight="15" x14ac:dyDescent="0.25"/>
  <cols>
    <col min="4" max="4" width="23" customWidth="1"/>
    <col min="5" max="5" width="22" customWidth="1"/>
    <col min="6" max="6" width="9" customWidth="1"/>
    <col min="7" max="9" width="15" customWidth="1"/>
    <col min="10" max="12" width="11" customWidth="1"/>
    <col min="13" max="15" width="14" customWidth="1"/>
    <col min="17" max="17" width="22" customWidth="1"/>
    <col min="18" max="19" width="12" customWidth="1"/>
    <col min="20" max="20" width="10" customWidth="1"/>
  </cols>
  <sheetData>
    <row r="2" spans="4:20" ht="31.5" customHeight="1" x14ac:dyDescent="0.5">
      <c r="D2" s="16" t="s">
        <v>326</v>
      </c>
    </row>
    <row r="8" spans="4:20" x14ac:dyDescent="0.25"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21</v>
      </c>
      <c r="K8" t="s">
        <v>22</v>
      </c>
      <c r="L8" t="s">
        <v>23</v>
      </c>
      <c r="M8" t="s">
        <v>79</v>
      </c>
      <c r="N8" t="s">
        <v>80</v>
      </c>
      <c r="O8" t="s">
        <v>81</v>
      </c>
      <c r="Q8" s="19" t="s">
        <v>3</v>
      </c>
      <c r="R8" s="19" t="s">
        <v>17</v>
      </c>
      <c r="S8" s="19" t="s">
        <v>18</v>
      </c>
      <c r="T8" s="19" t="s">
        <v>19</v>
      </c>
    </row>
    <row r="9" spans="4:20" x14ac:dyDescent="0.25">
      <c r="D9" t="s">
        <v>276</v>
      </c>
      <c r="E9" t="s">
        <v>277</v>
      </c>
      <c r="F9">
        <v>18</v>
      </c>
      <c r="G9">
        <v>1959.5</v>
      </c>
      <c r="H9">
        <v>1967.6</v>
      </c>
      <c r="I9">
        <v>2424.1999999999998</v>
      </c>
      <c r="J9" s="17">
        <f>(TableWomen5yr[[#This Row],[WHR Score]]-AVERAGE(TableWomen5yr[WHR Score]))/STDEV(TableWomen5yr[WHR Score])</f>
        <v>2.9891162917638905</v>
      </c>
      <c r="K9" s="17">
        <f>(TableWomen5yr[[#This Row],[WHR I+P Score]]-AVERAGE(TableWomen5yr[WHR I+P Score]))/STDEV(TableWomen5yr[WHR I+P Score])</f>
        <v>2.941079209708382</v>
      </c>
      <c r="L9" s="17">
        <f>(TableWomen5yr[[#This Row],[Method I+P Score]]-AVERAGE(TableWomen5yr[Method I+P Score]))/STDEV(TableWomen5yr[Method I+P Score])</f>
        <v>2.3065143291660779</v>
      </c>
      <c r="M9">
        <f>RANK(TableWomen5yr[[#This Row],[WHR Score]],TableWomen5yr[WHR Score],0)</f>
        <v>1</v>
      </c>
      <c r="N9">
        <f>RANK(TableWomen5yr[[#This Row],[WHR I+P Score]],TableWomen5yr[WHR I+P Score],0)</f>
        <v>1</v>
      </c>
      <c r="O9">
        <f>RANK(TableWomen5yr[[#This Row],[Method I+P Score]],TableWomen5yr[Method I+P Score],0)</f>
        <v>1</v>
      </c>
      <c r="Q9" t="s">
        <v>277</v>
      </c>
      <c r="R9" s="20">
        <f>AVERAGEIF($E$9:$E$44,$Q$9,$G$9:$G$44)</f>
        <v>1681.3666666666663</v>
      </c>
      <c r="S9" s="20">
        <f>_xlfn.MAXIFS($G$9:$G$44,$E$9:$E$44,$Q$9)</f>
        <v>1959.5</v>
      </c>
      <c r="T9">
        <f>COUNTIF($E$9:$E$44,$Q$9)</f>
        <v>9</v>
      </c>
    </row>
    <row r="10" spans="4:20" x14ac:dyDescent="0.25">
      <c r="D10" t="s">
        <v>278</v>
      </c>
      <c r="E10" t="s">
        <v>279</v>
      </c>
      <c r="F10">
        <v>19</v>
      </c>
      <c r="G10">
        <v>1889.9</v>
      </c>
      <c r="H10">
        <v>1901.4</v>
      </c>
      <c r="I10">
        <v>2377.3000000000002</v>
      </c>
      <c r="J10" s="17">
        <f>(TableWomen5yr[[#This Row],[WHR Score]]-AVERAGE(TableWomen5yr[WHR Score]))/STDEV(TableWomen5yr[WHR Score])</f>
        <v>2.3138972347278646</v>
      </c>
      <c r="K10" s="17">
        <f>(TableWomen5yr[[#This Row],[WHR I+P Score]]-AVERAGE(TableWomen5yr[WHR I+P Score]))/STDEV(TableWomen5yr[WHR I+P Score])</f>
        <v>2.3118154740321364</v>
      </c>
      <c r="L10" s="17">
        <f>(TableWomen5yr[[#This Row],[Method I+P Score]]-AVERAGE(TableWomen5yr[Method I+P Score]))/STDEV(TableWomen5yr[Method I+P Score])</f>
        <v>2.0525000188188769</v>
      </c>
      <c r="M10">
        <f>RANK(TableWomen5yr[[#This Row],[WHR Score]],TableWomen5yr[WHR Score],0)</f>
        <v>2</v>
      </c>
      <c r="N10">
        <f>RANK(TableWomen5yr[[#This Row],[WHR I+P Score]],TableWomen5yr[WHR I+P Score],0)</f>
        <v>2</v>
      </c>
      <c r="O10">
        <f>RANK(TableWomen5yr[[#This Row],[Method I+P Score]],TableWomen5yr[Method I+P Score],0)</f>
        <v>2</v>
      </c>
      <c r="Q10" t="s">
        <v>279</v>
      </c>
      <c r="R10" s="20">
        <f>AVERAGEIF($E$9:$E$44,$Q$10,$G$9:$G$44)</f>
        <v>1678.8222222222223</v>
      </c>
      <c r="S10" s="20">
        <f>_xlfn.MAXIFS($G$9:$G$44,$E$9:$E$44,$Q$10)</f>
        <v>1889.9</v>
      </c>
      <c r="T10">
        <f>COUNTIF($E$9:$E$44,$Q$10)</f>
        <v>9</v>
      </c>
    </row>
    <row r="11" spans="4:20" x14ac:dyDescent="0.25">
      <c r="D11" t="s">
        <v>282</v>
      </c>
      <c r="E11" t="s">
        <v>281</v>
      </c>
      <c r="F11">
        <v>15</v>
      </c>
      <c r="G11">
        <v>1831.2</v>
      </c>
      <c r="H11">
        <v>1842.8</v>
      </c>
      <c r="I11">
        <v>2297</v>
      </c>
      <c r="J11" s="17">
        <f>(TableWomen5yr[[#This Row],[WHR Score]]-AVERAGE(TableWomen5yr[WHR Score]))/STDEV(TableWomen5yr[WHR Score])</f>
        <v>1.7444236909345483</v>
      </c>
      <c r="K11" s="17">
        <f>(TableWomen5yr[[#This Row],[WHR I+P Score]]-AVERAGE(TableWomen5yr[WHR I+P Score]))/STDEV(TableWomen5yr[WHR I+P Score])</f>
        <v>1.7547934965302001</v>
      </c>
      <c r="L11" s="17">
        <f>(TableWomen5yr[[#This Row],[Method I+P Score]]-AVERAGE(TableWomen5yr[Method I+P Score]))/STDEV(TableWomen5yr[Method I+P Score])</f>
        <v>1.6175885237041552</v>
      </c>
      <c r="M11">
        <f>RANK(TableWomen5yr[[#This Row],[WHR Score]],TableWomen5yr[WHR Score],0)</f>
        <v>3</v>
      </c>
      <c r="N11">
        <f>RANK(TableWomen5yr[[#This Row],[WHR I+P Score]],TableWomen5yr[WHR I+P Score],0)</f>
        <v>3</v>
      </c>
      <c r="O11">
        <f>RANK(TableWomen5yr[[#This Row],[Method I+P Score]],TableWomen5yr[Method I+P Score],0)</f>
        <v>4</v>
      </c>
      <c r="Q11" t="s">
        <v>281</v>
      </c>
      <c r="R11" s="20">
        <f>AVERAGEIF($E$9:$E$44,$Q$11,$G$9:$G$44)</f>
        <v>1622.6411764705886</v>
      </c>
      <c r="S11" s="20">
        <f>_xlfn.MAXIFS($G$9:$G$44,$E$9:$E$44,$Q$11)</f>
        <v>1831.2</v>
      </c>
      <c r="T11">
        <f>COUNTIF($E$9:$E$44,$Q$11)</f>
        <v>17</v>
      </c>
    </row>
    <row r="12" spans="4:20" x14ac:dyDescent="0.25">
      <c r="D12" t="s">
        <v>327</v>
      </c>
      <c r="E12" t="s">
        <v>277</v>
      </c>
      <c r="F12">
        <v>8</v>
      </c>
      <c r="G12">
        <v>1821</v>
      </c>
      <c r="H12">
        <v>1828.7</v>
      </c>
      <c r="I12">
        <v>2170.3000000000002</v>
      </c>
      <c r="J12" s="17">
        <f>(TableWomen5yr[[#This Row],[WHR Score]]-AVERAGE(TableWomen5yr[WHR Score]))/STDEV(TableWomen5yr[WHR Score])</f>
        <v>1.6454691739551301</v>
      </c>
      <c r="K12" s="17">
        <f>(TableWomen5yr[[#This Row],[WHR I+P Score]]-AVERAGE(TableWomen5yr[WHR I+P Score]))/STDEV(TableWomen5yr[WHR I+P Score])</f>
        <v>1.6207660241278583</v>
      </c>
      <c r="L12" s="17">
        <f>(TableWomen5yr[[#This Row],[Method I+P Score]]-AVERAGE(TableWomen5yr[Method I+P Score]))/STDEV(TableWomen5yr[Method I+P Score])</f>
        <v>0.93137075993036877</v>
      </c>
      <c r="M12">
        <f>RANK(TableWomen5yr[[#This Row],[WHR Score]],TableWomen5yr[WHR Score],0)</f>
        <v>4</v>
      </c>
      <c r="N12">
        <f>RANK(TableWomen5yr[[#This Row],[WHR I+P Score]],TableWomen5yr[WHR I+P Score],0)</f>
        <v>4</v>
      </c>
      <c r="O12">
        <f>RANK(TableWomen5yr[[#This Row],[Method I+P Score]],TableWomen5yr[Method I+P Score],0)</f>
        <v>6</v>
      </c>
      <c r="Q12" t="s">
        <v>328</v>
      </c>
      <c r="R12" s="20">
        <f>AVERAGEIF($E$9:$E$44,$Q$12,$G$9:$G$44)</f>
        <v>1623.4</v>
      </c>
      <c r="S12" s="20">
        <f>_xlfn.MAXIFS($G$9:$G$44,$E$9:$E$44,$Q$12)</f>
        <v>1623.4</v>
      </c>
      <c r="T12">
        <f>COUNTIF($E$9:$E$44,$Q$12)</f>
        <v>1</v>
      </c>
    </row>
    <row r="13" spans="4:20" x14ac:dyDescent="0.25">
      <c r="D13" t="s">
        <v>280</v>
      </c>
      <c r="E13" t="s">
        <v>281</v>
      </c>
      <c r="F13">
        <v>13</v>
      </c>
      <c r="G13">
        <v>1807.1</v>
      </c>
      <c r="H13">
        <v>1821.8</v>
      </c>
      <c r="I13">
        <v>2331.9</v>
      </c>
      <c r="J13" s="17">
        <f>(TableWomen5yr[[#This Row],[WHR Score]]-AVERAGE(TableWomen5yr[WHR Score]))/STDEV(TableWomen5yr[WHR Score])</f>
        <v>1.5106193910125894</v>
      </c>
      <c r="K13" s="17">
        <f>(TableWomen5yr[[#This Row],[WHR I+P Score]]-AVERAGE(TableWomen5yr[WHR I+P Score]))/STDEV(TableWomen5yr[WHR I+P Score])</f>
        <v>1.555178112101179</v>
      </c>
      <c r="L13" s="17">
        <f>(TableWomen5yr[[#This Row],[Method I+P Score]]-AVERAGE(TableWomen5yr[Method I+P Score]))/STDEV(TableWomen5yr[Method I+P Score])</f>
        <v>1.806609833536083</v>
      </c>
      <c r="M13">
        <f>RANK(TableWomen5yr[[#This Row],[WHR Score]],TableWomen5yr[WHR Score],0)</f>
        <v>5</v>
      </c>
      <c r="N13">
        <f>RANK(TableWomen5yr[[#This Row],[WHR I+P Score]],TableWomen5yr[WHR I+P Score],0)</f>
        <v>5</v>
      </c>
      <c r="O13">
        <f>RANK(TableWomen5yr[[#This Row],[Method I+P Score]],TableWomen5yr[Method I+P Score],0)</f>
        <v>3</v>
      </c>
    </row>
    <row r="14" spans="4:20" x14ac:dyDescent="0.25">
      <c r="D14" t="s">
        <v>283</v>
      </c>
      <c r="E14" t="s">
        <v>281</v>
      </c>
      <c r="F14">
        <v>19</v>
      </c>
      <c r="G14">
        <v>1752.4</v>
      </c>
      <c r="H14">
        <v>1767.4</v>
      </c>
      <c r="I14">
        <v>2288.6999999999998</v>
      </c>
      <c r="J14" s="17">
        <f>(TableWomen5yr[[#This Row],[WHR Score]]-AVERAGE(TableWomen5yr[WHR Score]))/STDEV(TableWomen5yr[WHR Score])</f>
        <v>0.9799515401523804</v>
      </c>
      <c r="K14" s="17">
        <f>(TableWomen5yr[[#This Row],[WHR I+P Score]]-AVERAGE(TableWomen5yr[WHR I+P Score]))/STDEV(TableWomen5yr[WHR I+P Score])</f>
        <v>1.0380792114850494</v>
      </c>
      <c r="L14" s="17">
        <f>(TableWomen5yr[[#This Row],[Method I+P Score]]-AVERAGE(TableWomen5yr[Method I+P Score]))/STDEV(TableWomen5yr[Method I+P Score])</f>
        <v>1.5726350316810884</v>
      </c>
      <c r="M14">
        <f>RANK(TableWomen5yr[[#This Row],[WHR Score]],TableWomen5yr[WHR Score],0)</f>
        <v>6</v>
      </c>
      <c r="N14">
        <f>RANK(TableWomen5yr[[#This Row],[WHR I+P Score]],TableWomen5yr[WHR I+P Score],0)</f>
        <v>6</v>
      </c>
      <c r="O14">
        <f>RANK(TableWomen5yr[[#This Row],[Method I+P Score]],TableWomen5yr[Method I+P Score],0)</f>
        <v>5</v>
      </c>
    </row>
    <row r="15" spans="4:20" x14ac:dyDescent="0.25">
      <c r="D15" t="s">
        <v>329</v>
      </c>
      <c r="E15" t="s">
        <v>279</v>
      </c>
      <c r="F15">
        <v>9</v>
      </c>
      <c r="G15">
        <v>1714.7</v>
      </c>
      <c r="H15">
        <v>1720.7</v>
      </c>
      <c r="I15">
        <v>2127.6999999999998</v>
      </c>
      <c r="J15" s="17">
        <f>(TableWomen5yr[[#This Row],[WHR Score]]-AVERAGE(TableWomen5yr[WHR Score]))/STDEV(TableWomen5yr[WHR Score])</f>
        <v>0.61420788425786532</v>
      </c>
      <c r="K15" s="17">
        <f>(TableWomen5yr[[#This Row],[WHR I+P Score]]-AVERAGE(TableWomen5yr[WHR I+P Score]))/STDEV(TableWomen5yr[WHR I+P Score])</f>
        <v>0.59417261849289271</v>
      </c>
      <c r="L15" s="17">
        <f>(TableWomen5yr[[#This Row],[Method I+P Score]]-AVERAGE(TableWomen5yr[Method I+P Score]))/STDEV(TableWomen5yr[Method I+P Score])</f>
        <v>0.70064560810113763</v>
      </c>
      <c r="M15">
        <f>RANK(TableWomen5yr[[#This Row],[WHR Score]],TableWomen5yr[WHR Score],0)</f>
        <v>7</v>
      </c>
      <c r="N15">
        <f>RANK(TableWomen5yr[[#This Row],[WHR I+P Score]],TableWomen5yr[WHR I+P Score],0)</f>
        <v>7</v>
      </c>
      <c r="O15">
        <f>RANK(TableWomen5yr[[#This Row],[Method I+P Score]],TableWomen5yr[Method I+P Score],0)</f>
        <v>7</v>
      </c>
    </row>
    <row r="16" spans="4:20" x14ac:dyDescent="0.25">
      <c r="D16" t="s">
        <v>330</v>
      </c>
      <c r="E16" t="s">
        <v>279</v>
      </c>
      <c r="F16">
        <v>8</v>
      </c>
      <c r="G16">
        <v>1713.6</v>
      </c>
      <c r="H16">
        <v>1717.3</v>
      </c>
      <c r="I16">
        <v>2093.6</v>
      </c>
      <c r="J16" s="17">
        <f>(TableWomen5yr[[#This Row],[WHR Score]]-AVERAGE(TableWomen5yr[WHR Score]))/STDEV(TableWomen5yr[WHR Score])</f>
        <v>0.60353631870126023</v>
      </c>
      <c r="K16" s="17">
        <f>(TableWomen5yr[[#This Row],[WHR I+P Score]]-AVERAGE(TableWomen5yr[WHR I+P Score]))/STDEV(TableWomen5yr[WHR I+P Score])</f>
        <v>0.5618539372043837</v>
      </c>
      <c r="L16" s="17">
        <f>(TableWomen5yr[[#This Row],[Method I+P Score]]-AVERAGE(TableWomen5yr[Method I+P Score]))/STDEV(TableWomen5yr[Method I+P Score])</f>
        <v>0.51595716497022925</v>
      </c>
      <c r="M16">
        <f>RANK(TableWomen5yr[[#This Row],[WHR Score]],TableWomen5yr[WHR Score],0)</f>
        <v>8</v>
      </c>
      <c r="N16">
        <f>RANK(TableWomen5yr[[#This Row],[WHR I+P Score]],TableWomen5yr[WHR I+P Score],0)</f>
        <v>8</v>
      </c>
      <c r="O16">
        <f>RANK(TableWomen5yr[[#This Row],[Method I+P Score]],TableWomen5yr[Method I+P Score],0)</f>
        <v>10</v>
      </c>
    </row>
    <row r="17" spans="4:15" x14ac:dyDescent="0.25">
      <c r="D17" t="s">
        <v>331</v>
      </c>
      <c r="E17" t="s">
        <v>279</v>
      </c>
      <c r="F17">
        <v>9</v>
      </c>
      <c r="G17">
        <v>1699.7</v>
      </c>
      <c r="H17">
        <v>1709.3</v>
      </c>
      <c r="I17">
        <v>2099.6</v>
      </c>
      <c r="J17" s="17">
        <f>(TableWomen5yr[[#This Row],[WHR Score]]-AVERAGE(TableWomen5yr[WHR Score]))/STDEV(TableWomen5yr[WHR Score])</f>
        <v>0.46868653575872166</v>
      </c>
      <c r="K17" s="17">
        <f>(TableWomen5yr[[#This Row],[WHR I+P Score]]-AVERAGE(TableWomen5yr[WHR I+P Score]))/STDEV(TableWomen5yr[WHR I+P Score])</f>
        <v>0.48580998123142327</v>
      </c>
      <c r="L17" s="17">
        <f>(TableWomen5yr[[#This Row],[Method I+P Score]]-AVERAGE(TableWomen5yr[Method I+P Score]))/STDEV(TableWomen5yr[Method I+P Score])</f>
        <v>0.5484536652278672</v>
      </c>
      <c r="M17">
        <f>RANK(TableWomen5yr[[#This Row],[WHR Score]],TableWomen5yr[WHR Score],0)</f>
        <v>9</v>
      </c>
      <c r="N17">
        <f>RANK(TableWomen5yr[[#This Row],[WHR I+P Score]],TableWomen5yr[WHR I+P Score],0)</f>
        <v>9</v>
      </c>
      <c r="O17">
        <f>RANK(TableWomen5yr[[#This Row],[Method I+P Score]],TableWomen5yr[Method I+P Score],0)</f>
        <v>9</v>
      </c>
    </row>
    <row r="18" spans="4:15" x14ac:dyDescent="0.25">
      <c r="D18" t="s">
        <v>285</v>
      </c>
      <c r="E18" t="s">
        <v>281</v>
      </c>
      <c r="F18">
        <v>30</v>
      </c>
      <c r="G18">
        <v>1672.3</v>
      </c>
      <c r="H18">
        <v>1680.8</v>
      </c>
      <c r="I18">
        <v>2078.9</v>
      </c>
      <c r="J18" s="17">
        <f>(TableWomen5yr[[#This Row],[WHR Score]]-AVERAGE(TableWomen5yr[WHR Score]))/STDEV(TableWomen5yr[WHR Score])</f>
        <v>0.20286753916695155</v>
      </c>
      <c r="K18" s="17">
        <f>(TableWomen5yr[[#This Row],[WHR I+P Score]]-AVERAGE(TableWomen5yr[WHR I+P Score]))/STDEV(TableWomen5yr[WHR I+P Score])</f>
        <v>0.21490338807775181</v>
      </c>
      <c r="L18" s="17">
        <f>(TableWomen5yr[[#This Row],[Method I+P Score]]-AVERAGE(TableWomen5yr[Method I+P Score]))/STDEV(TableWomen5yr[Method I+P Score])</f>
        <v>0.4363407393390174</v>
      </c>
      <c r="M18">
        <f>RANK(TableWomen5yr[[#This Row],[WHR Score]],TableWomen5yr[WHR Score],0)</f>
        <v>10</v>
      </c>
      <c r="N18">
        <f>RANK(TableWomen5yr[[#This Row],[WHR I+P Score]],TableWomen5yr[WHR I+P Score],0)</f>
        <v>11</v>
      </c>
      <c r="O18">
        <f>RANK(TableWomen5yr[[#This Row],[Method I+P Score]],TableWomen5yr[Method I+P Score],0)</f>
        <v>11</v>
      </c>
    </row>
    <row r="19" spans="4:15" x14ac:dyDescent="0.25">
      <c r="D19" t="s">
        <v>324</v>
      </c>
      <c r="E19" t="s">
        <v>277</v>
      </c>
      <c r="F19">
        <v>12</v>
      </c>
      <c r="G19">
        <v>1671.9</v>
      </c>
      <c r="H19">
        <v>1683.3</v>
      </c>
      <c r="I19">
        <v>2116.8000000000002</v>
      </c>
      <c r="J19" s="17">
        <f>(TableWomen5yr[[#This Row],[WHR Score]]-AVERAGE(TableWomen5yr[WHR Score]))/STDEV(TableWomen5yr[WHR Score])</f>
        <v>0.19898696987364237</v>
      </c>
      <c r="K19" s="17">
        <f>(TableWomen5yr[[#This Row],[WHR I+P Score]]-AVERAGE(TableWomen5yr[WHR I+P Score]))/STDEV(TableWomen5yr[WHR I+P Score])</f>
        <v>0.23866712431930193</v>
      </c>
      <c r="L19" s="17">
        <f>(TableWomen5yr[[#This Row],[Method I+P Score]]-AVERAGE(TableWomen5yr[Method I+P Score]))/STDEV(TableWomen5yr[Method I+P Score])</f>
        <v>0.6416102992997641</v>
      </c>
      <c r="M19">
        <f>RANK(TableWomen5yr[[#This Row],[WHR Score]],TableWomen5yr[WHR Score],0)</f>
        <v>11</v>
      </c>
      <c r="N19">
        <f>RANK(TableWomen5yr[[#This Row],[WHR I+P Score]],TableWomen5yr[WHR I+P Score],0)</f>
        <v>10</v>
      </c>
      <c r="O19">
        <f>RANK(TableWomen5yr[[#This Row],[Method I+P Score]],TableWomen5yr[Method I+P Score],0)</f>
        <v>8</v>
      </c>
    </row>
    <row r="20" spans="4:15" x14ac:dyDescent="0.25">
      <c r="D20" t="s">
        <v>332</v>
      </c>
      <c r="E20" t="s">
        <v>277</v>
      </c>
      <c r="F20">
        <v>10</v>
      </c>
      <c r="G20">
        <v>1670.5</v>
      </c>
      <c r="H20">
        <v>1675.8</v>
      </c>
      <c r="I20">
        <v>2022.5</v>
      </c>
      <c r="J20" s="17">
        <f>(TableWomen5yr[[#This Row],[WHR Score]]-AVERAGE(TableWomen5yr[WHR Score]))/STDEV(TableWomen5yr[WHR Score])</f>
        <v>0.18540497734705474</v>
      </c>
      <c r="K20" s="17">
        <f>(TableWomen5yr[[#This Row],[WHR I+P Score]]-AVERAGE(TableWomen5yr[WHR I+P Score]))/STDEV(TableWomen5yr[WHR I+P Score])</f>
        <v>0.16737591559465154</v>
      </c>
      <c r="L20" s="17">
        <f>(TableWomen5yr[[#This Row],[Method I+P Score]]-AVERAGE(TableWomen5yr[Method I+P Score]))/STDEV(TableWomen5yr[Method I+P Score])</f>
        <v>0.13087363691722048</v>
      </c>
      <c r="M20">
        <f>RANK(TableWomen5yr[[#This Row],[WHR Score]],TableWomen5yr[WHR Score],0)</f>
        <v>12</v>
      </c>
      <c r="N20">
        <f>RANK(TableWomen5yr[[#This Row],[WHR I+P Score]],TableWomen5yr[WHR I+P Score],0)</f>
        <v>12</v>
      </c>
      <c r="O20">
        <f>RANK(TableWomen5yr[[#This Row],[Method I+P Score]],TableWomen5yr[Method I+P Score],0)</f>
        <v>14</v>
      </c>
    </row>
    <row r="21" spans="4:15" x14ac:dyDescent="0.25">
      <c r="D21" t="s">
        <v>287</v>
      </c>
      <c r="E21" t="s">
        <v>279</v>
      </c>
      <c r="F21">
        <v>15</v>
      </c>
      <c r="G21">
        <v>1660</v>
      </c>
      <c r="H21">
        <v>1667.5</v>
      </c>
      <c r="I21">
        <v>2047.8</v>
      </c>
      <c r="J21" s="17">
        <f>(TableWomen5yr[[#This Row],[WHR Score]]-AVERAGE(TableWomen5yr[WHR Score]))/STDEV(TableWomen5yr[WHR Score])</f>
        <v>8.3540033397654131E-2</v>
      </c>
      <c r="K21" s="17">
        <f>(TableWomen5yr[[#This Row],[WHR I+P Score]]-AVERAGE(TableWomen5yr[WHR I+P Score]))/STDEV(TableWomen5yr[WHR I+P Score])</f>
        <v>8.8480311272705559E-2</v>
      </c>
      <c r="L21" s="17">
        <f>(TableWomen5yr[[#This Row],[Method I+P Score]]-AVERAGE(TableWomen5yr[Method I+P Score]))/STDEV(TableWomen5yr[Method I+P Score])</f>
        <v>0.26790054633692678</v>
      </c>
      <c r="M21">
        <f>RANK(TableWomen5yr[[#This Row],[WHR Score]],TableWomen5yr[WHR Score],0)</f>
        <v>13</v>
      </c>
      <c r="N21">
        <f>RANK(TableWomen5yr[[#This Row],[WHR I+P Score]],TableWomen5yr[WHR I+P Score],0)</f>
        <v>13</v>
      </c>
      <c r="O21">
        <f>RANK(TableWomen5yr[[#This Row],[Method I+P Score]],TableWomen5yr[Method I+P Score],0)</f>
        <v>12</v>
      </c>
    </row>
    <row r="22" spans="4:15" x14ac:dyDescent="0.25">
      <c r="D22" t="s">
        <v>284</v>
      </c>
      <c r="E22" t="s">
        <v>281</v>
      </c>
      <c r="F22">
        <v>16</v>
      </c>
      <c r="G22">
        <v>1654</v>
      </c>
      <c r="H22">
        <v>1660.8</v>
      </c>
      <c r="I22">
        <v>2036.5</v>
      </c>
      <c r="J22" s="17">
        <f>(TableWomen5yr[[#This Row],[WHR Score]]-AVERAGE(TableWomen5yr[WHR Score]))/STDEV(TableWomen5yr[WHR Score])</f>
        <v>2.5331493997996644E-2</v>
      </c>
      <c r="K22" s="17">
        <f>(TableWomen5yr[[#This Row],[WHR I+P Score]]-AVERAGE(TableWomen5yr[WHR I+P Score]))/STDEV(TableWomen5yr[WHR I+P Score])</f>
        <v>2.4793498145350777E-2</v>
      </c>
      <c r="L22" s="17">
        <f>(TableWomen5yr[[#This Row],[Method I+P Score]]-AVERAGE(TableWomen5yr[Method I+P Score]))/STDEV(TableWomen5yr[Method I+P Score])</f>
        <v>0.2066988041850423</v>
      </c>
      <c r="M22">
        <f>RANK(TableWomen5yr[[#This Row],[WHR Score]],TableWomen5yr[WHR Score],0)</f>
        <v>14</v>
      </c>
      <c r="N22">
        <f>RANK(TableWomen5yr[[#This Row],[WHR I+P Score]],TableWomen5yr[WHR I+P Score],0)</f>
        <v>14</v>
      </c>
      <c r="O22">
        <f>RANK(TableWomen5yr[[#This Row],[Method I+P Score]],TableWomen5yr[Method I+P Score],0)</f>
        <v>13</v>
      </c>
    </row>
    <row r="23" spans="4:15" x14ac:dyDescent="0.25">
      <c r="D23" t="s">
        <v>286</v>
      </c>
      <c r="E23" t="s">
        <v>277</v>
      </c>
      <c r="F23">
        <v>19</v>
      </c>
      <c r="G23">
        <v>1644.3</v>
      </c>
      <c r="H23">
        <v>1651.5</v>
      </c>
      <c r="I23">
        <v>1982.7</v>
      </c>
      <c r="J23" s="17">
        <f>(TableWomen5yr[[#This Row],[WHR Score]]-AVERAGE(TableWomen5yr[WHR Score]))/STDEV(TableWomen5yr[WHR Score])</f>
        <v>-6.8772311364783414E-2</v>
      </c>
      <c r="K23" s="17">
        <f>(TableWomen5yr[[#This Row],[WHR I+P Score]]-AVERAGE(TableWomen5yr[WHR I+P Score]))/STDEV(TableWomen5yr[WHR I+P Score])</f>
        <v>-6.3607600673215262E-2</v>
      </c>
      <c r="L23" s="17">
        <f>(TableWomen5yr[[#This Row],[Method I+P Score]]-AVERAGE(TableWomen5yr[Method I+P Score]))/STDEV(TableWomen5yr[Method I+P Score])</f>
        <v>-8.468648145844411E-2</v>
      </c>
      <c r="M23">
        <f>RANK(TableWomen5yr[[#This Row],[WHR Score]],TableWomen5yr[WHR Score],0)</f>
        <v>15</v>
      </c>
      <c r="N23">
        <f>RANK(TableWomen5yr[[#This Row],[WHR I+P Score]],TableWomen5yr[WHR I+P Score],0)</f>
        <v>15</v>
      </c>
      <c r="O23">
        <f>RANK(TableWomen5yr[[#This Row],[Method I+P Score]],TableWomen5yr[Method I+P Score],0)</f>
        <v>17</v>
      </c>
    </row>
    <row r="24" spans="4:15" x14ac:dyDescent="0.25">
      <c r="D24" t="s">
        <v>288</v>
      </c>
      <c r="E24" t="s">
        <v>277</v>
      </c>
      <c r="F24">
        <v>15</v>
      </c>
      <c r="G24">
        <v>1635.3</v>
      </c>
      <c r="H24">
        <v>1646.2</v>
      </c>
      <c r="I24">
        <v>2000</v>
      </c>
      <c r="J24" s="17">
        <f>(TableWomen5yr[[#This Row],[WHR Score]]-AVERAGE(TableWomen5yr[WHR Score]))/STDEV(TableWomen5yr[WHR Score])</f>
        <v>-0.15608512046426964</v>
      </c>
      <c r="K24" s="17">
        <f>(TableWomen5yr[[#This Row],[WHR I+P Score]]-AVERAGE(TableWomen5yr[WHR I+P Score]))/STDEV(TableWomen5yr[WHR I+P Score])</f>
        <v>-0.11398672150530111</v>
      </c>
      <c r="L24" s="17">
        <f>(TableWomen5yr[[#This Row],[Method I+P Score]]-AVERAGE(TableWomen5yr[Method I+P Score]))/STDEV(TableWomen5yr[Method I+P Score])</f>
        <v>9.0117609510783018E-3</v>
      </c>
      <c r="M24">
        <f>RANK(TableWomen5yr[[#This Row],[WHR Score]],TableWomen5yr[WHR Score],0)</f>
        <v>16</v>
      </c>
      <c r="N24">
        <f>RANK(TableWomen5yr[[#This Row],[WHR I+P Score]],TableWomen5yr[WHR I+P Score],0)</f>
        <v>16</v>
      </c>
      <c r="O24">
        <f>RANK(TableWomen5yr[[#This Row],[Method I+P Score]],TableWomen5yr[Method I+P Score],0)</f>
        <v>16</v>
      </c>
    </row>
    <row r="25" spans="4:15" x14ac:dyDescent="0.25">
      <c r="D25" t="s">
        <v>289</v>
      </c>
      <c r="E25" t="s">
        <v>281</v>
      </c>
      <c r="F25">
        <v>13</v>
      </c>
      <c r="G25">
        <v>1634.2</v>
      </c>
      <c r="H25">
        <v>1643.1</v>
      </c>
      <c r="I25">
        <v>1954</v>
      </c>
      <c r="J25" s="17">
        <f>(TableWomen5yr[[#This Row],[WHR Score]]-AVERAGE(TableWomen5yr[WHR Score]))/STDEV(TableWomen5yr[WHR Score])</f>
        <v>-0.16675668602087265</v>
      </c>
      <c r="K25" s="17">
        <f>(TableWomen5yr[[#This Row],[WHR I+P Score]]-AVERAGE(TableWomen5yr[WHR I+P Score]))/STDEV(TableWomen5yr[WHR I+P Score])</f>
        <v>-0.14345375444482455</v>
      </c>
      <c r="L25" s="17">
        <f>(TableWomen5yr[[#This Row],[Method I+P Score]]-AVERAGE(TableWomen5yr[Method I+P Score]))/STDEV(TableWomen5yr[Method I+P Score])</f>
        <v>-0.24012807435747904</v>
      </c>
      <c r="M25">
        <f>RANK(TableWomen5yr[[#This Row],[WHR Score]],TableWomen5yr[WHR Score],0)</f>
        <v>17</v>
      </c>
      <c r="N25">
        <f>RANK(TableWomen5yr[[#This Row],[WHR I+P Score]],TableWomen5yr[WHR I+P Score],0)</f>
        <v>17</v>
      </c>
      <c r="O25">
        <f>RANK(TableWomen5yr[[#This Row],[Method I+P Score]],TableWomen5yr[Method I+P Score],0)</f>
        <v>21</v>
      </c>
    </row>
    <row r="26" spans="4:15" x14ac:dyDescent="0.25">
      <c r="D26" t="s">
        <v>290</v>
      </c>
      <c r="E26" t="s">
        <v>279</v>
      </c>
      <c r="F26">
        <v>13</v>
      </c>
      <c r="G26">
        <v>1628.7</v>
      </c>
      <c r="H26">
        <v>1636</v>
      </c>
      <c r="I26">
        <v>1956.3</v>
      </c>
      <c r="J26" s="17">
        <f>(TableWomen5yr[[#This Row],[WHR Score]]-AVERAGE(TableWomen5yr[WHR Score]))/STDEV(TableWomen5yr[WHR Score])</f>
        <v>-0.22011451380389199</v>
      </c>
      <c r="K26" s="17">
        <f>(TableWomen5yr[[#This Row],[WHR I+P Score]]-AVERAGE(TableWomen5yr[WHR I+P Score]))/STDEV(TableWomen5yr[WHR I+P Score])</f>
        <v>-0.21094276537082607</v>
      </c>
      <c r="L26" s="17">
        <f>(TableWomen5yr[[#This Row],[Method I+P Score]]-AVERAGE(TableWomen5yr[Method I+P Score]))/STDEV(TableWomen5yr[Method I+P Score])</f>
        <v>-0.22767108259205143</v>
      </c>
      <c r="M26">
        <f>RANK(TableWomen5yr[[#This Row],[WHR Score]],TableWomen5yr[WHR Score],0)</f>
        <v>18</v>
      </c>
      <c r="N26">
        <f>RANK(TableWomen5yr[[#This Row],[WHR I+P Score]],TableWomen5yr[WHR I+P Score],0)</f>
        <v>18</v>
      </c>
      <c r="O26">
        <f>RANK(TableWomen5yr[[#This Row],[Method I+P Score]],TableWomen5yr[Method I+P Score],0)</f>
        <v>20</v>
      </c>
    </row>
    <row r="27" spans="4:15" x14ac:dyDescent="0.25">
      <c r="D27" t="s">
        <v>333</v>
      </c>
      <c r="E27" t="s">
        <v>328</v>
      </c>
      <c r="F27">
        <v>12</v>
      </c>
      <c r="G27">
        <v>1623.4</v>
      </c>
      <c r="H27">
        <v>1630.5</v>
      </c>
      <c r="I27">
        <v>1913.8</v>
      </c>
      <c r="J27" s="17">
        <f>(TableWomen5yr[[#This Row],[WHR Score]]-AVERAGE(TableWomen5yr[WHR Score]))/STDEV(TableWomen5yr[WHR Score])</f>
        <v>-0.27153205694025567</v>
      </c>
      <c r="K27" s="17">
        <f>(TableWomen5yr[[#This Row],[WHR I+P Score]]-AVERAGE(TableWomen5yr[WHR I+P Score]))/STDEV(TableWomen5yr[WHR I+P Score])</f>
        <v>-0.26322298510223635</v>
      </c>
      <c r="L27" s="17">
        <f>(TableWomen5yr[[#This Row],[Method I+P Score]]-AVERAGE(TableWomen5yr[Method I+P Score]))/STDEV(TableWomen5yr[Method I+P Score])</f>
        <v>-0.45785462608365335</v>
      </c>
      <c r="M27">
        <f>RANK(TableWomen5yr[[#This Row],[WHR Score]],TableWomen5yr[WHR Score],0)</f>
        <v>19</v>
      </c>
      <c r="N27">
        <f>RANK(TableWomen5yr[[#This Row],[WHR I+P Score]],TableWomen5yr[WHR I+P Score],0)</f>
        <v>19</v>
      </c>
      <c r="O27">
        <f>RANK(TableWomen5yr[[#This Row],[Method I+P Score]],TableWomen5yr[Method I+P Score],0)</f>
        <v>24</v>
      </c>
    </row>
    <row r="28" spans="4:15" x14ac:dyDescent="0.25">
      <c r="D28" t="s">
        <v>291</v>
      </c>
      <c r="E28" t="s">
        <v>279</v>
      </c>
      <c r="F28">
        <v>17</v>
      </c>
      <c r="G28">
        <v>1621.4</v>
      </c>
      <c r="H28">
        <v>1629</v>
      </c>
      <c r="I28">
        <v>1887.3</v>
      </c>
      <c r="J28" s="17">
        <f>(TableWomen5yr[[#This Row],[WHR Score]]-AVERAGE(TableWomen5yr[WHR Score]))/STDEV(TableWomen5yr[WHR Score])</f>
        <v>-0.29093490340680817</v>
      </c>
      <c r="K28" s="17">
        <f>(TableWomen5yr[[#This Row],[WHR I+P Score]]-AVERAGE(TableWomen5yr[WHR I+P Score]))/STDEV(TableWomen5yr[WHR I+P Score])</f>
        <v>-0.27748122684716642</v>
      </c>
      <c r="L28" s="17">
        <f>(TableWomen5yr[[#This Row],[Method I+P Score]]-AVERAGE(TableWomen5yr[Method I+P Score]))/STDEV(TableWomen5yr[Method I+P Score])</f>
        <v>-0.60138083555488742</v>
      </c>
      <c r="M28">
        <f>RANK(TableWomen5yr[[#This Row],[WHR Score]],TableWomen5yr[WHR Score],0)</f>
        <v>20</v>
      </c>
      <c r="N28">
        <f>RANK(TableWomen5yr[[#This Row],[WHR I+P Score]],TableWomen5yr[WHR I+P Score],0)</f>
        <v>20</v>
      </c>
      <c r="O28">
        <f>RANK(TableWomen5yr[[#This Row],[Method I+P Score]],TableWomen5yr[Method I+P Score],0)</f>
        <v>27</v>
      </c>
    </row>
    <row r="29" spans="4:15" x14ac:dyDescent="0.25">
      <c r="D29" t="s">
        <v>293</v>
      </c>
      <c r="E29" t="s">
        <v>281</v>
      </c>
      <c r="F29">
        <v>16</v>
      </c>
      <c r="G29">
        <v>1605.4</v>
      </c>
      <c r="H29">
        <v>1611.7</v>
      </c>
      <c r="I29">
        <v>1906.3</v>
      </c>
      <c r="J29" s="17">
        <f>(TableWomen5yr[[#This Row],[WHR Score]]-AVERAGE(TableWomen5yr[WHR Score]))/STDEV(TableWomen5yr[WHR Score])</f>
        <v>-0.44615767513922816</v>
      </c>
      <c r="K29" s="17">
        <f>(TableWomen5yr[[#This Row],[WHR I+P Score]]-AVERAGE(TableWomen5yr[WHR I+P Score]))/STDEV(TableWomen5yr[WHR I+P Score])</f>
        <v>-0.44192628163869285</v>
      </c>
      <c r="L29" s="17">
        <f>(TableWomen5yr[[#This Row],[Method I+P Score]]-AVERAGE(TableWomen5yr[Method I+P Score]))/STDEV(TableWomen5yr[Method I+P Score])</f>
        <v>-0.49847525140570076</v>
      </c>
      <c r="M29">
        <f>RANK(TableWomen5yr[[#This Row],[WHR Score]],TableWomen5yr[WHR Score],0)</f>
        <v>21</v>
      </c>
      <c r="N29">
        <f>RANK(TableWomen5yr[[#This Row],[WHR I+P Score]],TableWomen5yr[WHR I+P Score],0)</f>
        <v>21</v>
      </c>
      <c r="O29">
        <f>RANK(TableWomen5yr[[#This Row],[Method I+P Score]],TableWomen5yr[Method I+P Score],0)</f>
        <v>25</v>
      </c>
    </row>
    <row r="30" spans="4:15" x14ac:dyDescent="0.25">
      <c r="D30" t="s">
        <v>292</v>
      </c>
      <c r="E30" t="s">
        <v>281</v>
      </c>
      <c r="F30">
        <v>13</v>
      </c>
      <c r="G30">
        <v>1604.1</v>
      </c>
      <c r="H30">
        <v>1609.6</v>
      </c>
      <c r="I30">
        <v>2003.8</v>
      </c>
      <c r="J30" s="17">
        <f>(TableWomen5yr[[#This Row],[WHR Score]]-AVERAGE(TableWomen5yr[WHR Score]))/STDEV(TableWomen5yr[WHR Score])</f>
        <v>-0.45876952534248905</v>
      </c>
      <c r="K30" s="17">
        <f>(TableWomen5yr[[#This Row],[WHR I+P Score]]-AVERAGE(TableWomen5yr[WHR I+P Score]))/STDEV(TableWomen5yr[WHR I+P Score])</f>
        <v>-0.46188782008159629</v>
      </c>
      <c r="L30" s="17">
        <f>(TableWomen5yr[[#This Row],[Method I+P Score]]-AVERAGE(TableWomen5yr[Method I+P Score]))/STDEV(TableWomen5yr[Method I+P Score])</f>
        <v>2.9592877780915402E-2</v>
      </c>
      <c r="M30">
        <f>RANK(TableWomen5yr[[#This Row],[WHR Score]],TableWomen5yr[WHR Score],0)</f>
        <v>22</v>
      </c>
      <c r="N30">
        <f>RANK(TableWomen5yr[[#This Row],[WHR I+P Score]],TableWomen5yr[WHR I+P Score],0)</f>
        <v>22</v>
      </c>
      <c r="O30">
        <f>RANK(TableWomen5yr[[#This Row],[Method I+P Score]],TableWomen5yr[Method I+P Score],0)</f>
        <v>15</v>
      </c>
    </row>
    <row r="31" spans="4:15" x14ac:dyDescent="0.25">
      <c r="D31" t="s">
        <v>334</v>
      </c>
      <c r="E31" t="s">
        <v>279</v>
      </c>
      <c r="F31">
        <v>12</v>
      </c>
      <c r="G31">
        <v>1601.4</v>
      </c>
      <c r="H31">
        <v>1602.9</v>
      </c>
      <c r="I31" s="18">
        <v>1787.1</v>
      </c>
      <c r="J31" s="17">
        <f>(TableWomen5yr[[#This Row],[WHR Score]]-AVERAGE(TableWomen5yr[WHR Score]))/STDEV(TableWomen5yr[WHR Score])</f>
        <v>-0.48496336807233315</v>
      </c>
      <c r="K31" s="17">
        <f>(TableWomen5yr[[#This Row],[WHR I+P Score]]-AVERAGE(TableWomen5yr[WHR I+P Score]))/STDEV(TableWomen5yr[WHR I+P Score])</f>
        <v>-0.52557463320894893</v>
      </c>
      <c r="L31" s="17">
        <f>(TableWomen5yr[[#This Row],[Method I+P Score]]-AVERAGE(TableWomen5yr[Method I+P Score]))/STDEV(TableWomen5yr[Method I+P Score])</f>
        <v>-1.144072389857441</v>
      </c>
      <c r="M31">
        <f>RANK(TableWomen5yr[[#This Row],[WHR Score]],TableWomen5yr[WHR Score],0)</f>
        <v>23</v>
      </c>
      <c r="N31">
        <f>RANK(TableWomen5yr[[#This Row],[WHR I+P Score]],TableWomen5yr[WHR I+P Score],0)</f>
        <v>23</v>
      </c>
      <c r="O31">
        <f>RANK(TableWomen5yr[[#This Row],[Method I+P Score]],TableWomen5yr[Method I+P Score],0)</f>
        <v>33</v>
      </c>
    </row>
    <row r="32" spans="4:15" x14ac:dyDescent="0.25">
      <c r="D32" t="s">
        <v>296</v>
      </c>
      <c r="E32" t="s">
        <v>281</v>
      </c>
      <c r="F32">
        <v>15</v>
      </c>
      <c r="G32">
        <v>1591.5</v>
      </c>
      <c r="H32">
        <v>1595.9</v>
      </c>
      <c r="I32">
        <v>1971.6</v>
      </c>
      <c r="J32" s="17">
        <f>(TableWomen5yr[[#This Row],[WHR Score]]-AVERAGE(TableWomen5yr[WHR Score]))/STDEV(TableWomen5yr[WHR Score])</f>
        <v>-0.5810074580817689</v>
      </c>
      <c r="K32" s="17">
        <f>(TableWomen5yr[[#This Row],[WHR I+P Score]]-AVERAGE(TableWomen5yr[WHR I+P Score]))/STDEV(TableWomen5yr[WHR I+P Score])</f>
        <v>-0.59211309468528928</v>
      </c>
      <c r="L32" s="17">
        <f>(TableWomen5yr[[#This Row],[Method I+P Score]]-AVERAGE(TableWomen5yr[Method I+P Score]))/STDEV(TableWomen5yr[Method I+P Score])</f>
        <v>-0.144805006935075</v>
      </c>
      <c r="M32">
        <f>RANK(TableWomen5yr[[#This Row],[WHR Score]],TableWomen5yr[WHR Score],0)</f>
        <v>24</v>
      </c>
      <c r="N32">
        <f>RANK(TableWomen5yr[[#This Row],[WHR I+P Score]],TableWomen5yr[WHR I+P Score],0)</f>
        <v>24</v>
      </c>
      <c r="O32">
        <f>RANK(TableWomen5yr[[#This Row],[Method I+P Score]],TableWomen5yr[Method I+P Score],0)</f>
        <v>18</v>
      </c>
    </row>
    <row r="33" spans="4:15" x14ac:dyDescent="0.25">
      <c r="D33" t="s">
        <v>298</v>
      </c>
      <c r="E33" t="s">
        <v>277</v>
      </c>
      <c r="F33">
        <v>14</v>
      </c>
      <c r="G33">
        <v>1583.9</v>
      </c>
      <c r="H33">
        <v>1585.6</v>
      </c>
      <c r="I33" s="18">
        <v>1828</v>
      </c>
      <c r="J33" s="17">
        <f>(TableWomen5yr[[#This Row],[WHR Score]]-AVERAGE(TableWomen5yr[WHR Score]))/STDEV(TableWomen5yr[WHR Score])</f>
        <v>-0.6547382746546675</v>
      </c>
      <c r="K33" s="17">
        <f>(TableWomen5yr[[#This Row],[WHR I+P Score]]-AVERAGE(TableWomen5yr[WHR I+P Score]))/STDEV(TableWomen5yr[WHR I+P Score])</f>
        <v>-0.69001968800047753</v>
      </c>
      <c r="L33" s="17">
        <f>(TableWomen5yr[[#This Row],[Method I+P Score]]-AVERAGE(TableWomen5yr[Method I+P Score]))/STDEV(TableWomen5yr[Method I+P Score])</f>
        <v>-0.92255457976787525</v>
      </c>
      <c r="M33">
        <f>RANK(TableWomen5yr[[#This Row],[WHR Score]],TableWomen5yr[WHR Score],0)</f>
        <v>25</v>
      </c>
      <c r="N33">
        <f>RANK(TableWomen5yr[[#This Row],[WHR I+P Score]],TableWomen5yr[WHR I+P Score],0)</f>
        <v>26</v>
      </c>
      <c r="O33">
        <f>RANK(TableWomen5yr[[#This Row],[Method I+P Score]],TableWomen5yr[Method I+P Score],0)</f>
        <v>31</v>
      </c>
    </row>
    <row r="34" spans="4:15" x14ac:dyDescent="0.25">
      <c r="D34" t="s">
        <v>295</v>
      </c>
      <c r="E34" t="s">
        <v>277</v>
      </c>
      <c r="F34">
        <v>14</v>
      </c>
      <c r="G34">
        <v>1582.5</v>
      </c>
      <c r="H34">
        <v>1586.6</v>
      </c>
      <c r="I34" s="18">
        <v>1760.3</v>
      </c>
      <c r="J34" s="17">
        <f>(TableWomen5yr[[#This Row],[WHR Score]]-AVERAGE(TableWomen5yr[WHR Score]))/STDEV(TableWomen5yr[WHR Score])</f>
        <v>-0.66832026718125515</v>
      </c>
      <c r="K34" s="17">
        <f>(TableWomen5yr[[#This Row],[WHR I+P Score]]-AVERAGE(TableWomen5yr[WHR I+P Score]))/STDEV(TableWomen5yr[WHR I+P Score])</f>
        <v>-0.68051419350385745</v>
      </c>
      <c r="L34" s="17">
        <f>(TableWomen5yr[[#This Row],[Method I+P Score]]-AVERAGE(TableWomen5yr[Method I+P Score]))/STDEV(TableWomen5yr[Method I+P Score])</f>
        <v>-1.2892234243415568</v>
      </c>
      <c r="M34">
        <f>RANK(TableWomen5yr[[#This Row],[WHR Score]],TableWomen5yr[WHR Score],0)</f>
        <v>26</v>
      </c>
      <c r="N34">
        <f>RANK(TableWomen5yr[[#This Row],[WHR I+P Score]],TableWomen5yr[WHR I+P Score],0)</f>
        <v>25</v>
      </c>
      <c r="O34">
        <f>RANK(TableWomen5yr[[#This Row],[Method I+P Score]],TableWomen5yr[Method I+P Score],0)</f>
        <v>35</v>
      </c>
    </row>
    <row r="35" spans="4:15" x14ac:dyDescent="0.25">
      <c r="D35" t="s">
        <v>297</v>
      </c>
      <c r="E35" t="s">
        <v>279</v>
      </c>
      <c r="F35">
        <v>20</v>
      </c>
      <c r="G35">
        <v>1580</v>
      </c>
      <c r="H35">
        <v>1582.4</v>
      </c>
      <c r="I35" s="18">
        <v>1782.8</v>
      </c>
      <c r="J35" s="17">
        <f>(TableWomen5yr[[#This Row],[WHR Score]]-AVERAGE(TableWomen5yr[WHR Score]))/STDEV(TableWomen5yr[WHR Score])</f>
        <v>-0.69257382526444577</v>
      </c>
      <c r="K35" s="17">
        <f>(TableWomen5yr[[#This Row],[WHR I+P Score]]-AVERAGE(TableWomen5yr[WHR I+P Score]))/STDEV(TableWomen5yr[WHR I+P Score])</f>
        <v>-0.72043727038965999</v>
      </c>
      <c r="L35" s="17">
        <f>(TableWomen5yr[[#This Row],[Method I+P Score]]-AVERAGE(TableWomen5yr[Method I+P Score]))/STDEV(TableWomen5yr[Method I+P Score])</f>
        <v>-1.1673615483754145</v>
      </c>
      <c r="M35">
        <f>RANK(TableWomen5yr[[#This Row],[WHR Score]],TableWomen5yr[WHR Score],0)</f>
        <v>27</v>
      </c>
      <c r="N35">
        <f>RANK(TableWomen5yr[[#This Row],[WHR I+P Score]],TableWomen5yr[WHR I+P Score],0)</f>
        <v>28</v>
      </c>
      <c r="O35">
        <f>RANK(TableWomen5yr[[#This Row],[Method I+P Score]],TableWomen5yr[Method I+P Score],0)</f>
        <v>34</v>
      </c>
    </row>
    <row r="36" spans="4:15" x14ac:dyDescent="0.25">
      <c r="D36" t="s">
        <v>300</v>
      </c>
      <c r="E36" t="s">
        <v>281</v>
      </c>
      <c r="F36">
        <v>15</v>
      </c>
      <c r="G36">
        <v>1575.6</v>
      </c>
      <c r="H36">
        <v>1583.9</v>
      </c>
      <c r="I36">
        <v>1918.3</v>
      </c>
      <c r="J36" s="17">
        <f>(TableWomen5yr[[#This Row],[WHR Score]]-AVERAGE(TableWomen5yr[WHR Score]))/STDEV(TableWomen5yr[WHR Score])</f>
        <v>-0.73526008749086214</v>
      </c>
      <c r="K36" s="17">
        <f>(TableWomen5yr[[#This Row],[WHR I+P Score]]-AVERAGE(TableWomen5yr[WHR I+P Score]))/STDEV(TableWomen5yr[WHR I+P Score])</f>
        <v>-0.70617902864472981</v>
      </c>
      <c r="L36" s="17">
        <f>(TableWomen5yr[[#This Row],[Method I+P Score]]-AVERAGE(TableWomen5yr[Method I+P Score]))/STDEV(TableWomen5yr[Method I+P Score])</f>
        <v>-0.43348225089042491</v>
      </c>
      <c r="M36">
        <f>RANK(TableWomen5yr[[#This Row],[WHR Score]],TableWomen5yr[WHR Score],0)</f>
        <v>28</v>
      </c>
      <c r="N36">
        <f>RANK(TableWomen5yr[[#This Row],[WHR I+P Score]],TableWomen5yr[WHR I+P Score],0)</f>
        <v>27</v>
      </c>
      <c r="O36">
        <f>RANK(TableWomen5yr[[#This Row],[Method I+P Score]],TableWomen5yr[Method I+P Score],0)</f>
        <v>22</v>
      </c>
    </row>
    <row r="37" spans="4:15" x14ac:dyDescent="0.25">
      <c r="D37" t="s">
        <v>335</v>
      </c>
      <c r="E37" t="s">
        <v>281</v>
      </c>
      <c r="F37">
        <v>8</v>
      </c>
      <c r="G37">
        <v>1569.9</v>
      </c>
      <c r="H37">
        <v>1570.2</v>
      </c>
      <c r="I37" s="18">
        <v>1579.6</v>
      </c>
      <c r="J37" s="17">
        <f>(TableWomen5yr[[#This Row],[WHR Score]]-AVERAGE(TableWomen5yr[WHR Score]))/STDEV(TableWomen5yr[WHR Score])</f>
        <v>-0.790558199920535</v>
      </c>
      <c r="K37" s="17">
        <f>(TableWomen5yr[[#This Row],[WHR I+P Score]]-AVERAGE(TableWomen5yr[WHR I+P Score]))/STDEV(TableWomen5yr[WHR I+P Score])</f>
        <v>-0.83640430324842496</v>
      </c>
      <c r="L37" s="17">
        <f>(TableWomen5yr[[#This Row],[Method I+P Score]]-AVERAGE(TableWomen5yr[Method I+P Score]))/STDEV(TableWomen5yr[Method I+P Score])</f>
        <v>-2.2679096904340854</v>
      </c>
      <c r="M37">
        <f>RANK(TableWomen5yr[[#This Row],[WHR Score]],TableWomen5yr[WHR Score],0)</f>
        <v>29</v>
      </c>
      <c r="N37">
        <f>RANK(TableWomen5yr[[#This Row],[WHR I+P Score]],TableWomen5yr[WHR I+P Score],0)</f>
        <v>29</v>
      </c>
      <c r="O37">
        <f>RANK(TableWomen5yr[[#This Row],[Method I+P Score]],TableWomen5yr[Method I+P Score],0)</f>
        <v>36</v>
      </c>
    </row>
    <row r="38" spans="4:15" x14ac:dyDescent="0.25">
      <c r="D38" t="s">
        <v>336</v>
      </c>
      <c r="E38" t="s">
        <v>281</v>
      </c>
      <c r="F38">
        <v>12</v>
      </c>
      <c r="G38">
        <v>1565.4</v>
      </c>
      <c r="H38">
        <v>1568.6</v>
      </c>
      <c r="I38" s="18">
        <v>1825.1</v>
      </c>
      <c r="J38" s="17">
        <f>(TableWomen5yr[[#This Row],[WHR Score]]-AVERAGE(TableWomen5yr[WHR Score]))/STDEV(TableWomen5yr[WHR Score])</f>
        <v>-0.83421460447027806</v>
      </c>
      <c r="K38" s="17">
        <f>(TableWomen5yr[[#This Row],[WHR I+P Score]]-AVERAGE(TableWomen5yr[WHR I+P Score]))/STDEV(TableWomen5yr[WHR I+P Score])</f>
        <v>-0.85161309444301836</v>
      </c>
      <c r="L38" s="17">
        <f>(TableWomen5yr[[#This Row],[Method I+P Score]]-AVERAGE(TableWomen5yr[Method I+P Score]))/STDEV(TableWomen5yr[Method I+P Score])</f>
        <v>-0.93826122155906744</v>
      </c>
      <c r="M38">
        <f>RANK(TableWomen5yr[[#This Row],[WHR Score]],TableWomen5yr[WHR Score],0)</f>
        <v>30</v>
      </c>
      <c r="N38">
        <f>RANK(TableWomen5yr[[#This Row],[WHR I+P Score]],TableWomen5yr[WHR I+P Score],0)</f>
        <v>30</v>
      </c>
      <c r="O38">
        <f>RANK(TableWomen5yr[[#This Row],[Method I+P Score]],TableWomen5yr[Method I+P Score],0)</f>
        <v>32</v>
      </c>
    </row>
    <row r="39" spans="4:15" x14ac:dyDescent="0.25">
      <c r="D39" t="s">
        <v>304</v>
      </c>
      <c r="E39" t="s">
        <v>281</v>
      </c>
      <c r="F39">
        <v>19</v>
      </c>
      <c r="G39" s="18">
        <v>1549.7</v>
      </c>
      <c r="H39" s="18">
        <v>1559</v>
      </c>
      <c r="I39">
        <v>1958.1</v>
      </c>
      <c r="J39" s="17">
        <f>(TableWomen5yr[[#This Row],[WHR Score]]-AVERAGE(TableWomen5yr[WHR Score]))/STDEV(TableWomen5yr[WHR Score])</f>
        <v>-0.98652694923271567</v>
      </c>
      <c r="K39" s="17">
        <f>(TableWomen5yr[[#This Row],[WHR I+P Score]]-AVERAGE(TableWomen5yr[WHR I+P Score]))/STDEV(TableWomen5yr[WHR I+P Score])</f>
        <v>-0.94286584161056997</v>
      </c>
      <c r="L39" s="17">
        <f>(TableWomen5yr[[#This Row],[Method I+P Score]]-AVERAGE(TableWomen5yr[Method I+P Score]))/STDEV(TableWomen5yr[Method I+P Score])</f>
        <v>-0.21792213251476031</v>
      </c>
      <c r="M39">
        <f>RANK(TableWomen5yr[[#This Row],[WHR Score]],TableWomen5yr[WHR Score],0)</f>
        <v>34</v>
      </c>
      <c r="N39">
        <f>RANK(TableWomen5yr[[#This Row],[WHR I+P Score]],TableWomen5yr[WHR I+P Score],0)</f>
        <v>32</v>
      </c>
      <c r="O39">
        <f>RANK(TableWomen5yr[[#This Row],[Method I+P Score]],TableWomen5yr[Method I+P Score],0)</f>
        <v>19</v>
      </c>
    </row>
    <row r="40" spans="4:15" x14ac:dyDescent="0.25">
      <c r="D40" t="s">
        <v>305</v>
      </c>
      <c r="E40" t="s">
        <v>281</v>
      </c>
      <c r="F40">
        <v>13</v>
      </c>
      <c r="G40" s="18">
        <v>1552.6</v>
      </c>
      <c r="H40" s="18">
        <v>1558.8</v>
      </c>
      <c r="I40">
        <v>1915.7</v>
      </c>
      <c r="J40" s="17">
        <f>(TableWomen5yr[[#This Row],[WHR Score]]-AVERAGE(TableWomen5yr[WHR Score]))/STDEV(TableWomen5yr[WHR Score])</f>
        <v>-0.95839282185621588</v>
      </c>
      <c r="K40" s="17">
        <f>(TableWomen5yr[[#This Row],[WHR I+P Score]]-AVERAGE(TableWomen5yr[WHR I+P Score]))/STDEV(TableWomen5yr[WHR I+P Score])</f>
        <v>-0.9447669405098944</v>
      </c>
      <c r="L40" s="17">
        <f>(TableWomen5yr[[#This Row],[Method I+P Score]]-AVERAGE(TableWomen5yr[Method I+P Score]))/STDEV(TableWomen5yr[Method I+P Score])</f>
        <v>-0.44756406766873419</v>
      </c>
      <c r="M40">
        <f>RANK(TableWomen5yr[[#This Row],[WHR Score]],TableWomen5yr[WHR Score],0)</f>
        <v>33</v>
      </c>
      <c r="N40">
        <f>RANK(TableWomen5yr[[#This Row],[WHR I+P Score]],TableWomen5yr[WHR I+P Score],0)</f>
        <v>34</v>
      </c>
      <c r="O40">
        <f>RANK(TableWomen5yr[[#This Row],[Method I+P Score]],TableWomen5yr[Method I+P Score],0)</f>
        <v>23</v>
      </c>
    </row>
    <row r="41" spans="4:15" x14ac:dyDescent="0.25">
      <c r="D41" t="s">
        <v>294</v>
      </c>
      <c r="E41" t="s">
        <v>277</v>
      </c>
      <c r="F41">
        <v>14</v>
      </c>
      <c r="G41" s="18">
        <v>1563.4</v>
      </c>
      <c r="H41" s="18">
        <v>1566.4</v>
      </c>
      <c r="I41">
        <v>1903</v>
      </c>
      <c r="J41" s="17">
        <f>(TableWomen5yr[[#This Row],[WHR Score]]-AVERAGE(TableWomen5yr[WHR Score]))/STDEV(TableWomen5yr[WHR Score])</f>
        <v>-0.85361745093683061</v>
      </c>
      <c r="K41" s="17">
        <f>(TableWomen5yr[[#This Row],[WHR I+P Score]]-AVERAGE(TableWomen5yr[WHR I+P Score]))/STDEV(TableWomen5yr[WHR I+P Score])</f>
        <v>-0.87252518233558074</v>
      </c>
      <c r="L41" s="17">
        <f>(TableWomen5yr[[#This Row],[Method I+P Score]]-AVERAGE(TableWomen5yr[Method I+P Score]))/STDEV(TableWomen5yr[Method I+P Score])</f>
        <v>-0.51634832654740137</v>
      </c>
      <c r="M41">
        <f>RANK(TableWomen5yr[[#This Row],[WHR Score]],TableWomen5yr[WHR Score],0)</f>
        <v>31</v>
      </c>
      <c r="N41">
        <f>RANK(TableWomen5yr[[#This Row],[WHR I+P Score]],TableWomen5yr[WHR I+P Score],0)</f>
        <v>31</v>
      </c>
      <c r="O41">
        <f>RANK(TableWomen5yr[[#This Row],[Method I+P Score]],TableWomen5yr[Method I+P Score],0)</f>
        <v>26</v>
      </c>
    </row>
    <row r="42" spans="4:15" x14ac:dyDescent="0.25">
      <c r="D42" t="s">
        <v>299</v>
      </c>
      <c r="E42" t="s">
        <v>281</v>
      </c>
      <c r="F42">
        <v>19</v>
      </c>
      <c r="G42" s="18">
        <v>1555.2</v>
      </c>
      <c r="H42" s="18">
        <v>1558.9</v>
      </c>
      <c r="I42">
        <v>1871.9</v>
      </c>
      <c r="J42" s="17">
        <f>(TableWomen5yr[[#This Row],[WHR Score]]-AVERAGE(TableWomen5yr[WHR Score]))/STDEV(TableWomen5yr[WHR Score])</f>
        <v>-0.93316912144969633</v>
      </c>
      <c r="K42" s="17">
        <f>(TableWomen5yr[[#This Row],[WHR I+P Score]]-AVERAGE(TableWomen5yr[WHR I+P Score]))/STDEV(TableWomen5yr[WHR I+P Score])</f>
        <v>-0.94381639106023119</v>
      </c>
      <c r="L42" s="17">
        <f>(TableWomen5yr[[#This Row],[Method I+P Score]]-AVERAGE(TableWomen5yr[Method I+P Score]))/STDEV(TableWomen5yr[Method I+P Score])</f>
        <v>-0.68478851954949072</v>
      </c>
      <c r="M42">
        <f>RANK(TableWomen5yr[[#This Row],[WHR Score]],TableWomen5yr[WHR Score],0)</f>
        <v>32</v>
      </c>
      <c r="N42">
        <f>RANK(TableWomen5yr[[#This Row],[WHR I+P Score]],TableWomen5yr[WHR I+P Score],0)</f>
        <v>33</v>
      </c>
      <c r="O42">
        <f>RANK(TableWomen5yr[[#This Row],[Method I+P Score]],TableWomen5yr[Method I+P Score],0)</f>
        <v>28</v>
      </c>
    </row>
    <row r="43" spans="4:15" x14ac:dyDescent="0.25">
      <c r="D43" t="s">
        <v>309</v>
      </c>
      <c r="E43" t="s">
        <v>281</v>
      </c>
      <c r="F43">
        <v>15</v>
      </c>
      <c r="G43" s="18">
        <v>1527.4</v>
      </c>
      <c r="H43" s="18">
        <v>1533.8</v>
      </c>
      <c r="I43">
        <v>1871.4</v>
      </c>
      <c r="J43" s="17">
        <f>(TableWomen5yr[[#This Row],[WHR Score]]-AVERAGE(TableWomen5yr[WHR Score]))/STDEV(TableWomen5yr[WHR Score])</f>
        <v>-1.2028686873347756</v>
      </c>
      <c r="K43" s="17">
        <f>(TableWomen5yr[[#This Row],[WHR I+P Score]]-AVERAGE(TableWomen5yr[WHR I+P Score]))/STDEV(TableWomen5yr[WHR I+P Score])</f>
        <v>-1.1824043029253957</v>
      </c>
      <c r="L43" s="17">
        <f>(TableWomen5yr[[#This Row],[Method I+P Score]]-AVERAGE(TableWomen5yr[Method I+P Score]))/STDEV(TableWomen5yr[Method I+P Score])</f>
        <v>-0.68749656123762726</v>
      </c>
      <c r="M43">
        <f>RANK(TableWomen5yr[[#This Row],[WHR Score]],TableWomen5yr[WHR Score],0)</f>
        <v>36</v>
      </c>
      <c r="N43">
        <f>RANK(TableWomen5yr[[#This Row],[WHR I+P Score]],TableWomen5yr[WHR I+P Score],0)</f>
        <v>36</v>
      </c>
      <c r="O43">
        <f>RANK(TableWomen5yr[[#This Row],[Method I+P Score]],TableWomen5yr[Method I+P Score],0)</f>
        <v>29</v>
      </c>
    </row>
    <row r="44" spans="4:15" x14ac:dyDescent="0.25">
      <c r="D44" t="s">
        <v>310</v>
      </c>
      <c r="E44" t="s">
        <v>281</v>
      </c>
      <c r="F44">
        <v>13</v>
      </c>
      <c r="G44" s="18">
        <v>1536.9</v>
      </c>
      <c r="H44" s="18">
        <v>1539.1</v>
      </c>
      <c r="I44">
        <v>1850.2</v>
      </c>
      <c r="J44" s="17">
        <f>(TableWomen5yr[[#This Row],[WHR Score]]-AVERAGE(TableWomen5yr[WHR Score]))/STDEV(TableWomen5yr[WHR Score])</f>
        <v>-1.1107051666186512</v>
      </c>
      <c r="K44" s="17">
        <f>(TableWomen5yr[[#This Row],[WHR I+P Score]]-AVERAGE(TableWomen5yr[WHR I+P Score]))/STDEV(TableWomen5yr[WHR I+P Score])</f>
        <v>-1.1320251820933098</v>
      </c>
      <c r="L44" s="17">
        <f>(TableWomen5yr[[#This Row],[Method I+P Score]]-AVERAGE(TableWomen5yr[Method I+P Score]))/STDEV(TableWomen5yr[Method I+P Score])</f>
        <v>-0.80231752881461471</v>
      </c>
      <c r="M44">
        <f>RANK(TableWomen5yr[[#This Row],[WHR Score]],TableWomen5yr[WHR Score],0)</f>
        <v>35</v>
      </c>
      <c r="N44">
        <f>RANK(TableWomen5yr[[#This Row],[WHR I+P Score]],TableWomen5yr[WHR I+P Score],0)</f>
        <v>35</v>
      </c>
      <c r="O44">
        <f>RANK(TableWomen5yr[[#This Row],[Method I+P Score]],TableWomen5yr[Method I+P Score],0)</f>
        <v>30</v>
      </c>
    </row>
  </sheetData>
  <pageMargins left="0.75" right="0.75" top="1" bottom="1" header="0.5" footer="0.5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MEN -WHR 10 yr</vt:lpstr>
      <vt:lpstr>MEN -WHR 5 yr</vt:lpstr>
      <vt:lpstr>MEN -FlyW WHR</vt:lpstr>
      <vt:lpstr>WOMEN -Overall 10 yr</vt:lpstr>
      <vt:lpstr>WOMEN -Divisional WHR</vt:lpstr>
      <vt:lpstr>WOMEN -Overall 5 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Saimon.Islam</dc:creator>
  <cp:lastModifiedBy>Saimon.Islam</cp:lastModifiedBy>
  <dcterms:created xsi:type="dcterms:W3CDTF">2026-05-14T21:19:53Z</dcterms:created>
  <dcterms:modified xsi:type="dcterms:W3CDTF">2026-05-14T23:31:33Z</dcterms:modified>
</cp:coreProperties>
</file>